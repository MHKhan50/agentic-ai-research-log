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Thank you for reviewing these notes.</t>
        </is>
      </c>
    </row>
    <row r="2">
      <c r="A2" s="1" t="inlineStr">
        <is>
          <t>Each row is one SOAP note drafted by software from the consultation on the left.</t>
        </is>
      </c>
    </row>
    <row r="3">
      <c r="A3" s="1" t="inlineStr">
        <is>
          <t>Read the consultation, then the note, and mark each column Y (yes) or N (no):</t>
        </is>
      </c>
    </row>
    <row r="4">
      <c r="A4" s="1" t="inlineStr">
        <is>
          <t>1. Wrong or missing body region: the note names the wrong body part, adds one that was not discussed, or does not name the main one.</t>
        </is>
      </c>
    </row>
    <row r="5">
      <c r="A5" s="1" t="inlineStr">
        <is>
          <t>2. Side wrong or missing: the consultation names left or right and the note gives the wrong side or no side. Mark N if no side was mentioned.</t>
        </is>
      </c>
    </row>
    <row r="6">
      <c r="A6" s="1" t="inlineStr">
        <is>
          <t>3. Red flag or other critical fact missing: a red-flag answer, medicine, referral or urgent action from the consultation is not in the note.</t>
        </is>
      </c>
    </row>
    <row r="7">
      <c r="A7" s="1" t="inlineStr">
        <is>
          <t>4. Other error: anything else a physiotherapist would correct, such as a symptom or detail that was never said, or a wrong number.</t>
        </is>
      </c>
    </row>
    <row r="8">
      <c r="A8" s="1" t="inlineStr">
        <is>
          <t>Use the Comment column for anything you want to explain. Please judge each note on its own.</t>
        </is>
      </c>
    </row>
    <row r="9">
      <c r="A9" s="1" t="inlineStr">
        <is>
          <t>Please do not open review_key.csv until you have finished.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70" customWidth="1" min="3" max="3"/>
    <col width="16" customWidth="1" min="4" max="4"/>
    <col width="16" customWidth="1" min="5" max="5"/>
    <col width="18" customWidth="1" min="6" max="6"/>
    <col width="18" customWidth="1" min="7" max="7"/>
    <col width="30" customWidth="1" min="8" max="8"/>
  </cols>
  <sheetData>
    <row r="1">
      <c r="A1" s="2" t="inlineStr">
        <is>
          <t>Code</t>
        </is>
      </c>
      <c r="B1" s="2" t="inlineStr">
        <is>
          <t>Consultation (reference)</t>
        </is>
      </c>
      <c r="C1" s="2" t="inlineStr">
        <is>
          <t>Drafted note</t>
        </is>
      </c>
      <c r="D1" s="2" t="inlineStr">
        <is>
          <t>Wrong or missing body region (Y/N)</t>
        </is>
      </c>
      <c r="E1" s="2" t="inlineStr">
        <is>
          <t>Side wrong or missing (Y/N)</t>
        </is>
      </c>
      <c r="F1" s="2" t="inlineStr">
        <is>
          <t>Red flag or other critical fact missing (Y/N)</t>
        </is>
      </c>
      <c r="G1" s="2" t="inlineStr">
        <is>
          <t>Other error, e.g. invented or wrong fact (Y/N)</t>
        </is>
      </c>
      <c r="H1" s="2" t="inlineStr">
        <is>
          <t>Comment</t>
        </is>
      </c>
    </row>
    <row r="2" ht="409" customHeight="1">
      <c r="A2" s="3" t="inlineStr">
        <is>
          <t>R01</t>
        </is>
      </c>
      <c r="B2" s="3" t="inlineStr">
        <is>
          <t>Physio: Hello, what is the problem?
Patient: Pain in my left Achilles tendon for 5 weeks. I run 30 km a week.
Physio: When is it worst?
Patient: Stiff in the morning, then about 3 out of 10 when running.
Physio: Did you feel a sudden snap?
Patient: No snap.
Physio: Have you taken any antibiotics recently?
Patient: Yes, ciprofloxacin last month.
Physio: This is Achilles tendinopathy. That antibiotic can affect tendons, so tell your GP. Reduce running by half and do heel raise exercises. Review in 4 weeks.</t>
        </is>
      </c>
      <c r="C2" s="3" t="inlineStr">
        <is>
          <t>Here is the SOAP note:
**Subjective**
* Patient reports pain in left Achilles tendon for 5 weeks
* Pain is worse in the morning and during running (3/10)
* No sudden snap or trauma reported
* Recent use of ciprofloxacin (antibiotic) last month
**Objective**
* No specific measurements or observations recorded
**Assessment**
* Diagnosis: Achilles tendinopathy
* Possible contributing factor: recent use of ciprofloxacin
**Plan**
* Reduce running by half
* Perform heel raise exercises
* Review in 4 weeks
* Inform GP about potential tendon effect of ciprofloxacin</t>
        </is>
      </c>
      <c r="D2" s="4" t="inlineStr"/>
      <c r="E2" s="4" t="inlineStr"/>
      <c r="F2" s="4" t="inlineStr"/>
      <c r="G2" s="4" t="inlineStr"/>
      <c r="H2" s="3" t="inlineStr"/>
    </row>
    <row r="3" ht="409" customHeight="1">
      <c r="A3" s="3" t="inlineStr">
        <is>
          <t>R02</t>
        </is>
      </c>
      <c r="B3" s="3" t="inlineStr">
        <is>
          <t>Physio: Hello, what happened?
Patient: I fell on my outstretched left hand yesterday. My wrist is swollen.
Physio: Where exactly does it hurt?
Patient: Here, at the base of the thumb.
Physio: I can feel tenderness in the anatomical snuffbox. Do you take any blood thinners?
Patient: Yes, warfarin.
Physio: This could be a scaphoid fracture. Please go for an X-ray today. Keep the wrist in this splint until then.</t>
        </is>
      </c>
      <c r="C3" s="3" t="inlineStr">
        <is>
          <t>Here is the SOAP note based on the transcript:
**Subjective**
* Patient fell on outstretched left hand yesterday
* Wrist is swollen
* Pain is located at the base of the thumb
* Patient takes warfarin (blood thinner)
**Objective**
* Wrist is swollen
* Tenderness in the anatomical snuffbox
* Physiotherapist's assessment: possible scaphoid fracture
**Assessment**
* Possible scaphoid fracture
* Patient's use of warfarin may increase risk of bleeding
**Plan**
* Patient to undergo X-ray today
* Wrist to be kept in splint until X-ray results are available</t>
        </is>
      </c>
      <c r="D3" s="4" t="inlineStr"/>
      <c r="E3" s="4" t="inlineStr"/>
      <c r="F3" s="4" t="inlineStr"/>
      <c r="G3" s="4" t="inlineStr"/>
      <c r="H3" s="3" t="inlineStr"/>
    </row>
    <row r="4" ht="409" customHeight="1">
      <c r="A4" s="3" t="inlineStr">
        <is>
          <t>R03</t>
        </is>
      </c>
      <c r="B4" s="3" t="inlineStr">
        <is>
          <t>Physio: Hello, what happened?
Patient: I fell on my outstretched left hand yesterday. My wrist is swollen.
Physio: Where exactly does it hurt?
Patient: Here, at the base of the thumb.
Physio: I can feel tenderness in the anatomical snuffbox. Do you take any blood thinners?
Patient: Yes, warfarin.
Physio: This could be a scaphoid fracture. Please go for an X-ray today. Keep the wrist in this splint until then.</t>
        </is>
      </c>
      <c r="C4" s="3" t="inlineStr">
        <is>
          <t>**Subjective:**
- Patient reports a previous fracture of the scaphoid bone in the wrist.
- The patient experienced pain in the anatomical snuffbox area.
- The pain is described as a dull ache.
- The patient has been taking warfarin for blood thinning.
- The patient has not taken any pain medication.
**Objective:**
- Patient is a 45-year-old male.
- Patient reports pain in the anatomical snuffbox area of the wrist.
- Patient has a history of a previous fracture of the scaphoid bone.
- Patient is currently taking warfarin for blood thinning.
- Patient has not taken any pain medication.
**Assessment:**
- Scaphoid fracture of the wrist.
- Anatomical snuffbox pain due to previous fracture.
- Patient is currently taking warfarin for blood thinning.
**Plan:**
- Order X-ray of the wrist to confirm the diagnosis.
- Patient should continue to wear a splint on the wrist until further evaluation.
- Monitor for any changes in the patient's condition and adjust treatment as necessary.</t>
        </is>
      </c>
      <c r="D4" s="4" t="inlineStr"/>
      <c r="E4" s="4" t="inlineStr"/>
      <c r="F4" s="4" t="inlineStr"/>
      <c r="G4" s="4" t="inlineStr"/>
      <c r="H4" s="3" t="inlineStr"/>
    </row>
    <row r="5" ht="409" customHeight="1">
      <c r="A5" s="3" t="inlineStr">
        <is>
          <t>R04</t>
        </is>
      </c>
      <c r="B5" s="3" t="inlineStr">
        <is>
          <t>Physio: What seems to be the problem?
Patient: I work at a computer for 9 hours a day and have had neck pain for 2 months.
Physio: Does the pain spread anywhere?
Patient: Sometimes to my right shoulder, but there is no tingling in my hands.
Physio: Any headaches or dizziness?
Patient: Mild headaches in the evening, but no dizziness.
Physio: Are you taking any medication?
Patient: No medication.
Physio: Turning your neck to the left is slightly reduced, and your arm strength and sensation are normal. This looks like posture-related neck pain. Change your desk setup, take a break every 30 minutes and do these exercises. We will review in 4 weeks.</t>
        </is>
      </c>
      <c r="C5" s="3" t="inlineStr">
        <is>
          <t>Here is the SOAP note based on the transcript:
**Subjective**
* Patient is a computer operator who works for 9 hours a day
* Complaint of neck pain for 2 months
* Pain radiates to the shoulders, but no numbness or tingling in the hands
* Mild headache in the evening, but no dizziness
* No medication is being taken
**Objective**
* Reduced range of motion in the neck, particularly on the right side
* Normal strength and sensation in the arms
* Normal posture, but desk setup may be contributing to neck pain
**Assessment**
* Neck pain likely due to poor posture and prolonged computer use
* Possible musculoskeletal strain in the neck and shoulder region
**Plan**
* Advise patient to adjust desk setup to reduce strain on the neck
* Recommend regular breaks every 30 minutes
* Prescribe exercises to improve posture and reduce neck pain
* Follow-up appointment in 4 weeks to reassess progress</t>
        </is>
      </c>
      <c r="D5" s="4" t="inlineStr"/>
      <c r="E5" s="4" t="inlineStr"/>
      <c r="F5" s="4" t="inlineStr"/>
      <c r="G5" s="4" t="inlineStr"/>
      <c r="H5" s="3" t="inlineStr"/>
    </row>
    <row r="6" ht="409" customHeight="1">
      <c r="A6" s="3" t="inlineStr">
        <is>
          <t>R05</t>
        </is>
      </c>
      <c r="B6" s="3" t="inlineStr">
        <is>
          <t>Physio: What seems to be the problem?
Patient: I work at a computer for 9 hours a day and have had neck pain for 2 months.
Physio: Does the pain spread anywhere?
Patient: Sometimes to my right shoulder, but there is no tingling in my hands.
Physio: Any headaches or dizziness?
Patient: Mild headaches in the evening, but no dizziness.
Physio: Are you taking any medication?
Patient: No medication.
Physio: Turning your neck to the left is slightly reduced, and your arm strength and sensation are normal. This looks like posture-related neck pain. Change your desk setup, take a break every 30 minutes and do these exercises. We will review in 4 weeks.</t>
        </is>
      </c>
      <c r="C6" s="3" t="inlineStr">
        <is>
          <t>**Subjective:**
- Patient reports having neck pain for 2 months.
- The pain is localized to the neck and sometimes spreads to the right shoulder.
- There is no tingling in the hands.
- The patient experiences mild headaches in the evening but no dizziness.
- The patient does not take any medication.
**Objective:**
- Patient's neck mobility to the left is slightly reduced.
- Arm strength and sensation are normal.
- Patient does not report any neurological symptoms such as tingling or numbness.
**Assessment:**
- Posture-related neck pain.
- Normal arm strength and sensation, indicating no significant nerve compression.
**Plan:**
- Adjust the patient's desk setup to improve posture.
- Encourage the patient to take a break every 30 minutes during work.
- Prescribe exercises to strengthen the neck and improve posture.
- Schedule a follow-up appointment in 4 weeks to reassess the patient's condition.</t>
        </is>
      </c>
      <c r="D6" s="4" t="inlineStr"/>
      <c r="E6" s="4" t="inlineStr"/>
      <c r="F6" s="4" t="inlineStr"/>
      <c r="G6" s="4" t="inlineStr"/>
      <c r="H6" s="3" t="inlineStr"/>
    </row>
    <row r="7" ht="409" customHeight="1">
      <c r="A7" s="3" t="inlineStr">
        <is>
          <t>R06</t>
        </is>
      </c>
      <c r="B7" s="3" t="inlineStr">
        <is>
          <t>Physio: Hello, what happened?
Patient: A car hit my car from behind 3 days ago. Now my neck is stiff and sore.
Physio: Did you lose consciousness?
Patient: No, I was awake the whole time.
Physio: Any numbness or tingling in your arms?
Patient: No numbness or tingling.
Physio: Are you taking anything?
Patient: Paracetamol when needed.
Physio: Turning is reduced in both directions, but the nerves are normal. This is a whiplash injury. Keep the neck moving gently, do the exercises, and come back in 1 week.</t>
        </is>
      </c>
      <c r="C7" s="3" t="inlineStr">
        <is>
          <t>Here is a concise SOAP note based on the consultation transcript:
**Subjective**
* The patient was involved in a car accident 3 days ago where another car rear-ended their vehicle.
* The patient reports neck pain and stiffness, with a headache.
* The patient was conscious throughout the incident.
* The patient is not experiencing any numbness or tingling in the arms.
* The patient is taking paracetamol as needed.
**Objective**
* No neurological deficits were observed.
* No abnormal sounds were heard in the neck.
* The patient's neck range of motion is limited, but the nerves appear to be normal.
**Assessment**
* The patient has sustained a whiplash injury.
**Plan**
* The patient is advised to gently mobilize their neck and perform exercises.
* The patient is to return in 1 week for further assessment.</t>
        </is>
      </c>
      <c r="D7" s="4" t="inlineStr"/>
      <c r="E7" s="4" t="inlineStr"/>
      <c r="F7" s="4" t="inlineStr"/>
      <c r="G7" s="4" t="inlineStr"/>
      <c r="H7" s="3" t="inlineStr"/>
    </row>
    <row r="8" ht="409" customHeight="1">
      <c r="A8" s="3" t="inlineStr">
        <is>
          <t>R07</t>
        </is>
      </c>
      <c r="B8" s="3" t="inlineStr">
        <is>
          <t>Physio: Hello, what brings you in today?
Patient: I have had lower back pain for 3 weeks. It started after I lifted a heavy box at work.
Physio: How bad is it out of 10?
Patient: About 6 out of 10, worse in the morning.
Physio: Any numbness in your legs or saddle area? Any problems passing urine?
Patient: No numbness, and no problems with urine.
Physio: Any fever or weight loss?
Patient: No.
Physio: Are you taking anything for it?
Patient: Ibuprofen 400 mg, twice a day.
Physio: Bending forward is painful, but your leg strength and reflexes are normal. This looks like a muscle strain. I will give you exercises, keep moving, and we will review in 2 weeks.</t>
        </is>
      </c>
      <c r="C8" s="3" t="inlineStr">
        <is>
          <t>Here is the SOAP note based on the transcript:
**Subjective**
* Patient has been experiencing lower back pain for 3 weeks
* Pain started after lifting a heavy object at work
* Pain intensity is approximately 6/10, worse in the morning
* No urinary retention or incontinence
* No fever or weight loss
* Currently taking Ibuprofen 400mg, 2 times a day
**Objective**
* No specific findings on examination
* No tenderness or muscle spasm in the lower back
* Normal muscle strength and reflexes in the lower limbs
* No signs of neurological deficit
**Assessment**
* Muscle strain in the lower back
* Possible exacerbation by heavy lifting
**Plan**
* Provide exercises for strengthening and stretching
* Advise patient to continue with normal activities, including work and daily activities
* Review in 2 weeks to assess progress and adjust treatment plan as needed</t>
        </is>
      </c>
      <c r="D8" s="4" t="inlineStr"/>
      <c r="E8" s="4" t="inlineStr"/>
      <c r="F8" s="4" t="inlineStr"/>
      <c r="G8" s="4" t="inlineStr"/>
      <c r="H8" s="3" t="inlineStr"/>
    </row>
    <row r="9" ht="409" customHeight="1">
      <c r="A9" s="3" t="inlineStr">
        <is>
          <t>R08</t>
        </is>
      </c>
      <c r="B9" s="3" t="inlineStr">
        <is>
          <t>Physio: Hello, how can I help?
Patient: Pain in my upper back for 2 months. It wakes me at night.
Physio: Any weight loss?
Patient: Yes, I have lost 6 kg without trying.
Physio: Any past illnesses?
Patient: I had prostate cancer 4 years ago.
Physio: Night pain, weight loss and a past cancer are warning signs. I am referring you urgently to your GP today for tests. Please do not start exercises yet.</t>
        </is>
      </c>
      <c r="C9" s="3" t="inlineStr">
        <is>
          <t>**Subjective:**
- Patient reports persistent pain on the right side of the abdomen for the past two months.
- The pain wakes him from sleep.
- His weight has decreased by 6 kg without any intentional effort.
- He has a history of prostate cancer four years ago.
**Objective:**
- Patient is a 40-year-old male.
- Patient's weight is 60 kg.
- Patient is alert and oriented.
- Patient's abdomen is tender on palpation.
- Patient's vital signs are stable.
**Assessment:**
- The patient is experiencing right-sided abdominal pain that has persisted for two months, waking him from sleep.
- The patient's weight loss is concerning and may be related to his abdominal pain.
- The patient has a history of prostate cancer, which could be contributing to his current symptoms.
- The patient's weight loss and abdominal pain are concerning and warrant further investigation.
**Plan:**
- Refer the patient to his general practitioner (GP) for urgent tests.
- No exercises should be started at this time.</t>
        </is>
      </c>
      <c r="D9" s="4" t="inlineStr"/>
      <c r="E9" s="4" t="inlineStr"/>
      <c r="F9" s="4" t="inlineStr"/>
      <c r="G9" s="4" t="inlineStr"/>
      <c r="H9" s="3" t="inlineStr"/>
    </row>
    <row r="10" ht="409" customHeight="1">
      <c r="A10" s="3" t="inlineStr">
        <is>
          <t>R09</t>
        </is>
      </c>
      <c r="B10" s="3" t="inlineStr">
        <is>
          <t>Physio: Hello, how can I help?
Patient: Tingling in my right thumb and first two fingers for 3 months, worse at night.
Physio: What is your work?
Patient: I work on a computer all day.
Physio: Any health problems?
Patient: Underactive thyroid, I take levothyroxine 100 micrograms.
Physio: Is there any neck pain?
Patient: No neck pain.
Physio: Tapping over the wrist brings on the tingling. This is carpal tunnel syndrome. Wear a wrist splint at night. Review in 6 weeks.</t>
        </is>
      </c>
      <c r="C10" s="3" t="inlineStr">
        <is>
          <t>**Subjective:**
- Patient reports tingling in right thumb and first two fingers for 3 months, with symptoms worsening at night.
- Patient works on a computer all day.
- Patient has underactive thyroid and takes levothyroxine 100 micrograms.
- Patient does not have neck pain.
- Tapping over the wrist brings on the tingling.
**Objective:**
- Patient appears to have normal motor and sensory examination of the upper extremities.
- No visible deformities or swelling noted.
- Patient is able to move all fingers and thumb without pain.
- Patient is wearing a wrist splint at the time of the consultation.
**Assessment:**
- Carpal Tunnel Syndrome (CTS) is suspected due to the patient's history of tingling in the right thumb and first two fingers, which worsens at night and is exacerbated by tapping over the wrist.
- Underactive thyroid is noted, but this is not directly related to the current musculoskeletal complaint.
**Plan:**
- Recommend the patient to wear a wrist splint at night.
- Schedule a follow-up in 6 weeks to reassess the patient's condition and adjust the treatment plan if necessary.</t>
        </is>
      </c>
      <c r="D10" s="4" t="inlineStr"/>
      <c r="E10" s="4" t="inlineStr"/>
      <c r="F10" s="4" t="inlineStr"/>
      <c r="G10" s="4" t="inlineStr"/>
      <c r="H10" s="3" t="inlineStr"/>
    </row>
    <row r="11" ht="409" customHeight="1">
      <c r="A11" s="3" t="inlineStr">
        <is>
          <t>R10</t>
        </is>
      </c>
      <c r="B11" s="3" t="inlineStr">
        <is>
          <t>Physio: Hello, what is the problem?
Patient: Neck pain for 3 weeks, and tingling down my left arm into the thumb.
Physio: Any weakness in the arm, or problems with balance or walking?
Patient: No weakness, and my balance and walking are fine.
Physio: Are you taking anything?
Patient: Naproxen 500 mg twice a day.
Physio: Turning your head to the left brings on the tingling. This looks like irritation of a nerve root in the neck. Do these exercises, and come back in 2 weeks. If your arm becomes weak, come back straight away.</t>
        </is>
      </c>
      <c r="C11" s="3" t="inlineStr">
        <is>
          <t>**Subjective:**
- Patient has had shoulder pain for 3 weeks.
- Shoulder stiffness is present, and the patient experiences pain when raising the arm.
- The patient does not experience weakness or difficulty in moving.
- The patient takes Naproxen 500 mg daily twice a day.
- The patient reports shoulder stiffness worsens when moving the arm.
**Objective:**
- Patient is a 45-year-old male.
- Patient has a history of shoulder stiffness and pain for 3 weeks.
- Patient reports taking Naproxen 500 mg daily twice a day.
- Patient's shoulder stiffness is noted to worsen with arm movement.
- Patient's shoulder mobility is within normal limits.
**Assessment:**
- Shoulder stiffness and pain are likely due to nerve root irritation in the shoulder.
- The patient's shoulder stiffness is likely related to nerve root irritation, possibly from repetitive arm movement.
**Plan:**
- Perform shoulder exercises to improve mobility and reduce stiffness.
- Follow-up in 2 weeks to reassess shoulder condition.
- If shoulder stiffness worsens, refer the patient for further evaluation.</t>
        </is>
      </c>
      <c r="D11" s="4" t="inlineStr"/>
      <c r="E11" s="4" t="inlineStr"/>
      <c r="F11" s="4" t="inlineStr"/>
      <c r="G11" s="4" t="inlineStr"/>
      <c r="H11" s="3" t="inlineStr"/>
    </row>
    <row r="12" ht="409" customHeight="1">
      <c r="A12" s="3" t="inlineStr">
        <is>
          <t>R11</t>
        </is>
      </c>
      <c r="B12" s="3" t="inlineStr">
        <is>
          <t>Physio: Hello, what is the problem?
Patient: Neck pain for 3 weeks, and tingling down my left arm into the thumb.
Physio: Any weakness in the arm, or problems with balance or walking?
Patient: No weakness, and my balance and walking are fine.
Physio: Are you taking anything?
Patient: Naproxen 500 mg twice a day.
Physio: Turning your head to the left brings on the tingling. This looks like irritation of a nerve root in the neck. Do these exercises, and come back in 2 weeks. If your arm becomes weak, come back straight away.</t>
        </is>
      </c>
      <c r="C12" s="3" t="inlineStr">
        <is>
          <t>Here is a concise SOAP note based on the transcript:
**Subjective**
* Patient has been experiencing pain in the neck (gardan) for 3 weeks
* Patient reports a clicking or snapping sound (jhunjhunahat) in the left shoulder (baayen baazu)
* Patient denies any weakness (kamzori) in the arm or difficulty with balance (chalne aur tawazun)
* Patient is currently taking Naproxen 500 mg twice a day
**Objective**
* No specific objective findings mentioned in the transcript
**Assessment**
* Possible nerve root irritation in the neck (gardan mein nerve root ki irritation)
* Clicking or snapping sound in the left shoulder (baayen baazu mein jhunjhunahat)
**Plan**
* Patient to perform exercises
* Follow-up appointment in 2 weeks
* Patient to return if shoulder weakness (baazu kamzor ho jaye) or other symptoms worsen</t>
        </is>
      </c>
      <c r="D12" s="4" t="inlineStr"/>
      <c r="E12" s="4" t="inlineStr"/>
      <c r="F12" s="4" t="inlineStr"/>
      <c r="G12" s="4" t="inlineStr"/>
      <c r="H12" s="3" t="inlineStr"/>
    </row>
    <row r="13" ht="409" customHeight="1">
      <c r="A13" s="3" t="inlineStr">
        <is>
          <t>R12</t>
        </is>
      </c>
      <c r="B13" s="3" t="inlineStr">
        <is>
          <t>Physio: Hello, what is the problem?
Patient: Lower back pain for 5 weeks, with pain down my right leg to the foot.
Physio: Any tingling?
Patient: Yes, tingling in my right foot.
Physio: Any weakness, or problems with your bladder?
Patient: No weakness and no bladder problems.
Physio: Are you taking anything?
Patient: Pregabalin 75 mg twice a day, from my GP.
Physio: Lifting your straight right leg brings on the leg pain. This is sciatica. Keep active, do these exercises, and review in 3 weeks.</t>
        </is>
      </c>
      <c r="C13" s="3" t="inlineStr">
        <is>
          <t>**Subjective:**
- Patient has had pain in the knees for 5 weeks.
- Pain is also present in the lower back, extending to the lower back.
- The patient has a history of sciatica.
- The patient is taking pregabalin 75 mg daily, twice a day, as prescribed by their GP.
- The patient is not experiencing any other joint pain or issues with the heel.
**Objective:**
- Patient is a 45-year-old male.
- Patient is cooperative and able to communicate effectively.
- Patient's lower back and knee pain is described as moderate to severe.
- Patient's lower back pain extends to the lower back area.
- Patient's lower back and knee pain is exacerbated by movement.
- Patient's lower back and knee pain is relieved by pregabalin.
**Assessment:**
- The patient is experiencing chronic lower back and knee pain, likely due to sciatica.
- The patient is currently taking pregabalin for pain management.
- The patient's symptoms are consistent with sciatica, with pain extending from the lower back to the lower extremities.
**Plan:**
- Continue the current treatment plan, including pregabalin.
- Begin a physiotherapy exercise program to help alleviate pain and improve mobility.
- Follow-up in 3 weeks to reassess the patient's condition.</t>
        </is>
      </c>
      <c r="D13" s="4" t="inlineStr"/>
      <c r="E13" s="4" t="inlineStr"/>
      <c r="F13" s="4" t="inlineStr"/>
      <c r="G13" s="4" t="inlineStr"/>
      <c r="H13" s="3" t="inlineStr"/>
    </row>
    <row r="14" ht="409" customHeight="1">
      <c r="A14" s="3" t="inlineStr">
        <is>
          <t>R13</t>
        </is>
      </c>
      <c r="B14" s="3" t="inlineStr">
        <is>
          <t>Physio: Hello, what brings you in today?
Patient: I have had lower back pain for 3 weeks. It started after I lifted a heavy box at work.
Physio: How bad is it out of 10?
Patient: About 6 out of 10, worse in the morning.
Physio: Any numbness in your legs or saddle area? Any problems passing urine?
Patient: No numbness, and no problems with urine.
Physio: Any fever or weight loss?
Patient: No.
Physio: Are you taking anything for it?
Patient: Ibuprofen 400 mg, twice a day.
Physio: Bending forward is painful, but your leg strength and reflexes are normal. This looks like a muscle strain. I will give you exercises, keep moving, and we will review in 2 weeks.</t>
        </is>
      </c>
      <c r="C14" s="3" t="inlineStr">
        <is>
          <t>Here is a concise SOAP note based on the transcript:
**Subjective**
* Patient reports lower back pain for 3 weeks, starting after lifting a heavy box at work
* Pain level is 6/10, worse in the morning
* No numbness in legs or saddle area, no problems with urination
* No fever or weight loss
* Currently taking ibuprofen 400 mg, twice a day
**Objective**
* Bending forward is painful
* Leg strength and reflexes are normal
**Assessment**
* Diagnosis: Muscle strain
**Plan**
* Provide exercises for patient to perform
* Encourage patient to keep moving
* Review in 2 weeks</t>
        </is>
      </c>
      <c r="D14" s="4" t="inlineStr"/>
      <c r="E14" s="4" t="inlineStr"/>
      <c r="F14" s="4" t="inlineStr"/>
      <c r="G14" s="4" t="inlineStr"/>
      <c r="H14" s="3" t="inlineStr"/>
    </row>
    <row r="15" ht="409" customHeight="1">
      <c r="A15" s="3" t="inlineStr">
        <is>
          <t>R14</t>
        </is>
      </c>
      <c r="B15" s="3" t="inlineStr">
        <is>
          <t>Physio: Hello, what is the problem?
Patient: Pain in my left Achilles tendon for 5 weeks. I run 30 km a week.
Physio: When is it worst?
Patient: Stiff in the morning, then about 3 out of 10 when running.
Physio: Did you feel a sudden snap?
Patient: No snap.
Physio: Have you taken any antibiotics recently?
Patient: Yes, ciprofloxacin last month.
Physio: This is Achilles tendinopathy. That antibiotic can affect tendons, so tell your GP. Reduce running by half and do heel raise exercises. Review in 4 weeks.</t>
        </is>
      </c>
      <c r="C15" s="3" t="inlineStr">
        <is>
          <t>Here is a concise SOAP note based on the transcript:
**Subjective**
* Patient has been experiencing pain in the Achilles tendon for 5 weeks
* Pain is worse in the morning and improves with activity, but still present after 10 minutes of walking
* No sudden onset of pain or feeling of a snap
* Patient has taken ciprofloxacin antibiotic in the past month
**Objective**
* No specific measurements or observations are mentioned in the transcript
**Assessment**
* Diagnosis: Achilles tendinopathy
* Possible cause: antibiotic use (ciprofloxacin) may have contributed to the condition
**Plan**
* Patient to reduce walking distance by half
* Patient to perform exercises to strengthen the affected area
* Follow-up appointment in 4 weeks</t>
        </is>
      </c>
      <c r="D15" s="4" t="inlineStr"/>
      <c r="E15" s="4" t="inlineStr"/>
      <c r="F15" s="4" t="inlineStr"/>
      <c r="G15" s="4" t="inlineStr"/>
      <c r="H15" s="3" t="inlineStr"/>
    </row>
    <row r="16" ht="409" customHeight="1">
      <c r="A16" s="3" t="inlineStr">
        <is>
          <t>R15</t>
        </is>
      </c>
      <c r="B16" s="3" t="inlineStr">
        <is>
          <t>Physio: Hello, what is the problem?
Patient: Pain in my left Achilles tendon for 5 weeks. I run 30 km a week.
Physio: When is it worst?
Patient: Stiff in the morning, then about 3 out of 10 when running.
Physio: Did you feel a sudden snap?
Patient: No snap.
Physio: Have you taken any antibiotics recently?
Patient: Yes, ciprofloxacin last month.
Physio: This is Achilles tendinopathy. That antibiotic can affect tendons, so tell your GP. Reduce running by half and do heel raise exercises. Review in 4 weeks.</t>
        </is>
      </c>
      <c r="C16" s="3" t="inlineStr">
        <is>
          <t>**Subjective:**
- Patient has had Achilles tendon pain for 5 weeks.
- Patient has been walking 30 km per week.
- Pain is worse in the morning, around 10 AM.
- No sudden onset of a tear.
- Patient has taken ciprofloxacin for previous infections.
**Objective:**
- Patient is a 30-year-old male.
- Patient reports morning Achilles tendon pain.
- Patient has no history of tendon rupture.
- Patient has been walking 30 km per week.
- Patient has been taking ciprofloxacin for previous infections.
**Assessment:**
- Achilles tendinopathy.
- Antibiotics may have affected tendon healing.
- Patient should continue walking and perform exercises.
- Follow-up in 4 weeks.
**Plan:**
- Continue current walking regimen.
- Perform exercises to improve Achilles tendon strength and flexibility.
- Follow-up in 4 weeks for reassessment.</t>
        </is>
      </c>
      <c r="D16" s="4" t="inlineStr"/>
      <c r="E16" s="4" t="inlineStr"/>
      <c r="F16" s="4" t="inlineStr"/>
      <c r="G16" s="4" t="inlineStr"/>
      <c r="H16" s="3" t="inlineStr"/>
    </row>
    <row r="17" ht="409" customHeight="1">
      <c r="A17" s="3" t="inlineStr">
        <is>
          <t>R16</t>
        </is>
      </c>
      <c r="B17" s="3" t="inlineStr">
        <is>
          <t>Physio: Tell me about your shoulder.
Patient: My left shoulder has been stiff and painful for 4 months. I cannot lift my arm above my head.
Physio: Did you injure it?
Patient: No injury.
Physio: Any other health problems?
Patient: I have type 2 diabetes and high blood pressure. I take metformin 500 mg twice a day and amlodipine 5 mg once a day.
Physio: Is it painful at night?
Patient: Yes, it wakes me up, about 5 out of 10.
Physio: Both active and passive movement are reduced, especially turning the arm outwards. With your diabetes, this could be a frozen shoulder. We will start gentle stretching, and I will write to your GP about a possible steroid injection. We will review in 3 weeks.</t>
        </is>
      </c>
      <c r="C17" s="3" t="inlineStr">
        <is>
          <t>Here is the SOAP note based on the transcript:
**Subjective**
* Patient has been experiencing right shoulder pain for 4 months
* Pain is constant and interferes with daily activities, specifically lifting arms above shoulder level
* No history of trauma or injury
* Patient has type 2 diabetes and high blood pressure, currently taking metformin 500mg BD and amlodipine 5mg OD
* Pain is worse at night, waking up 5 times out of 10
**Objective**
* No visible deformity or swelling
* Range of motion is limited, especially in abduction and external rotation
* No tenderness to palpation
**Assessment**
* Diagnosis: Frozen shoulder (probable secondary to diabetes)
* Contributing factors: Type 2 diabetes and high blood pressure
**Plan**
* Start with gentle stretching exercises
* Physiotherapist to consult with GP regarding steroid injection
* Follow-up appointment in 3 weeks to reassess progress</t>
        </is>
      </c>
      <c r="D17" s="4" t="inlineStr"/>
      <c r="E17" s="4" t="inlineStr"/>
      <c r="F17" s="4" t="inlineStr"/>
      <c r="G17" s="4" t="inlineStr"/>
      <c r="H17" s="3" t="inlineStr"/>
    </row>
    <row r="18" ht="409" customHeight="1">
      <c r="A18" s="3" t="inlineStr">
        <is>
          <t>R17</t>
        </is>
      </c>
      <c r="B18" s="3" t="inlineStr">
        <is>
          <t>Physio: Hello, how can I help?
Patient: Tingling in my right thumb and first two fingers for 3 months, worse at night.
Physio: What is your work?
Patient: I work on a computer all day.
Physio: Any health problems?
Patient: Underactive thyroid, I take levothyroxine 100 micrograms.
Physio: Is there any neck pain?
Patient: No neck pain.
Physio: Tapping over the wrist brings on the tingling. This is carpal tunnel syndrome. Wear a wrist splint at night. Review in 6 weeks.</t>
        </is>
      </c>
      <c r="C18" s="3" t="inlineStr">
        <is>
          <t>Here is a concise SOAP note based on the consultation transcript:
**Subjective**
* Patient has been experiencing numbness in both hands, particularly at night, for the past 3 months.
* Patient works on a computer all day.
* Patient has hypothyroidism and takes levothyroxine 100 micrograms daily.
* No pain in the neck.
**Objective**
* Numbness and tingling sensation in both hands, particularly at night.
* No pain in the neck.
**Assessment**
* Carpal tunnel syndrome, likely caused by prolonged computer use.
**Plan**
* Patient to use a wrist splint at night.
* Follow-up in 6 weeks to assess progress.</t>
        </is>
      </c>
      <c r="D18" s="4" t="inlineStr"/>
      <c r="E18" s="4" t="inlineStr"/>
      <c r="F18" s="4" t="inlineStr"/>
      <c r="G18" s="4" t="inlineStr"/>
      <c r="H18" s="3" t="inlineStr"/>
    </row>
    <row r="19" ht="409" customHeight="1">
      <c r="A19" s="3" t="inlineStr">
        <is>
          <t>R18</t>
        </is>
      </c>
      <c r="B19" s="3" t="inlineStr">
        <is>
          <t>Physio: Hello, how can I help?
Patient: Pain under my right heel for 2 months. The first steps in the morning are the worst, about 7 out of 10.
Physio: What is your job?
Patient: I am a teacher, I stand all day.
Physio: Any other health problems?
Patient: I have diabetes, I take metformin 500 mg twice a day.
Physio: Any numbness in your feet?
Patient: No numbness.
Physio: The inside of the heel is tender. This is plantar fasciitis. Do calf stretches, use soft insoles, and we will review in 6 weeks.</t>
        </is>
      </c>
      <c r="C19" s="3" t="inlineStr">
        <is>
          <t>Here is a concise SOAP note based on the transcript:
**Subjective**
* Patient reports pain under right heel for 2 months
* Pain is worst in the morning, rated 7/10
* Patient is a teacher who stands all day
* Patient has diabetes and takes metformin 500mg twice a day
* No numbness in feet
**Objective**
* Plantar fasciitis confirmed by physiotherapist
* Inside of right heel is tender to touch
**Assessment**
* Diagnosis: Plantar fasciitis
* Contributing factors: prolonged standing, diabetes
**Plan**
* Calf stretches to be performed
* Soft insoles to be used
* Review in 6 weeks</t>
        </is>
      </c>
      <c r="D19" s="4" t="inlineStr"/>
      <c r="E19" s="4" t="inlineStr"/>
      <c r="F19" s="4" t="inlineStr"/>
      <c r="G19" s="4" t="inlineStr"/>
      <c r="H19" s="3" t="inlineStr"/>
    </row>
    <row r="20" ht="409" customHeight="1">
      <c r="A20" s="3" t="inlineStr">
        <is>
          <t>R19</t>
        </is>
      </c>
      <c r="B20" s="3" t="inlineStr">
        <is>
          <t>Physio: Hello, what is wrong?
Patient: Bad lower back pain for 2 days, going down both legs.
Physio: Any numbness between your legs, in the saddle area?
Patient: Yes, since this morning it feels numb there.
Physio: Any change in passing urine?
Patient: Yes, I am finding it hard to pass urine.
Physio: These are signs of cauda equina syndrome. This is an emergency. You need to go to A&amp;E now.</t>
        </is>
      </c>
      <c r="C20" s="3" t="inlineStr">
        <is>
          <t>Here is the SOAP note based on the transcript:
**Subjective**
* Patient has been experiencing severe lower back pain for 2 days, radiating to both legs.
* Pain is located in the sacral region (taangon ke darmiyan, saddle wale hisse).
* Patient has been experiencing urinary retention (peshab karne mein mushkil ho rahi hai) since this morning.
**Objective**
* No specific objective findings are mentioned in the transcript.
**Assessment**
* Cauda equina syndrome is suspected based on the patient's symptoms.
* This is an emergency situation.
**Plan**
* Patient needs to be referred to the Accident and Emergency (A&amp;E) department immediately.</t>
        </is>
      </c>
      <c r="D20" s="4" t="inlineStr"/>
      <c r="E20" s="4" t="inlineStr"/>
      <c r="F20" s="4" t="inlineStr"/>
      <c r="G20" s="4" t="inlineStr"/>
      <c r="H20" s="3" t="inlineStr"/>
    </row>
    <row r="21" ht="409" customHeight="1">
      <c r="A21" s="3" t="inlineStr">
        <is>
          <t>R20</t>
        </is>
      </c>
      <c r="B21" s="3" t="inlineStr">
        <is>
          <t>Physio: Hello, what happened?
Patient: A car hit my car from behind 3 days ago. Now my neck is stiff and sore.
Physio: Did you lose consciousness?
Patient: No, I was awake the whole time.
Physio: Any numbness or tingling in your arms?
Patient: No numbness or tingling.
Physio: Are you taking anything?
Patient: Paracetamol when needed.
Physio: Turning is reduced in both directions, but the nerves are normal. This is a whiplash injury. Keep the neck moving gently, do the exercises, and come back in 1 week.</t>
        </is>
      </c>
      <c r="C21" s="3" t="inlineStr">
        <is>
          <t>**Subjective:**
- Patient reports a shoulder injury that occurred 3 days ago.
- The shoulder is painful and swollen.
- The patient has been in pain for the entire duration.
- No previous treatment with analgesics or anti-inflammatory medications.
- The patient is currently taking paracetamol.
**Objective:**
- Patient is in pain but not in distress.
- No visible swelling or bruising on the shoulder.
- No history of sunn-pan (bruising) or jhunjhunahat (bruising).
- Patient is currently taking paracetamol for pain relief.
**Assessment:**
- Shoulder injury likely due to whiplash.
- Shoulder pain and swelling, but no sunn-pan or jhunjhunahat.
- No need for sunn-pan or jhunjhunahat.
- Patient is experiencing pain but no significant nerve involvement.
- Patient should perform exercises and return in one week for follow-up.
**Plan:**
- Continue with paracetamol for pain management.
- Perform shoulder exercises as recommended.
- Follow-up in one week for reassessment.</t>
        </is>
      </c>
      <c r="D21" s="4" t="inlineStr"/>
      <c r="E21" s="4" t="inlineStr"/>
      <c r="F21" s="4" t="inlineStr"/>
      <c r="G21" s="4" t="inlineStr"/>
      <c r="H21" s="3" t="inlineStr"/>
    </row>
    <row r="22" ht="409" customHeight="1">
      <c r="A22" s="3" t="inlineStr">
        <is>
          <t>R21</t>
        </is>
      </c>
      <c r="B22" s="3" t="inlineStr">
        <is>
          <t>Physio: Hello, what happened?
Patient: I twisted my right knee playing basketball 1 week ago. I heard a pop.
Physio: Did it swell?
Patient: Yes, it swelled within 1 hour.
Physio: Does it give way?
Patient: Yes, it gives way when I turn.
Physio: The knee moves forward too much when I test it. This may be an ACL tear. I will refer you to the orthopaedic clinic for an MRI. Use crutches for now.</t>
        </is>
      </c>
      <c r="C22" s="3" t="inlineStr">
        <is>
          <t>Here is the SOAP note based on the transcript:
**Subjective**
* Patient experienced a sudden onset of pain in the knee while playing basketball 1 week ago.
* The patient reported hearing a snapping sound.
* The patient reported that the knee was swollen within 1 hour.
* The patient reported that the knee is still painful and gives way during movement.
**Objective**
* No specific measurements or observations are mentioned in the transcript.
**Assessment**
* The physiotherapist suspects an ACL (Anterior Cruciate Ligament) tear based on the patient's symptoms and the physical examination.
**Plan**
* The physiotherapist will refer the patient to an orthopaedic clinic for an MRI.
* The patient is advised to use crutches (baisakhiyan) in the meantime.</t>
        </is>
      </c>
      <c r="D22" s="4" t="inlineStr"/>
      <c r="E22" s="4" t="inlineStr"/>
      <c r="F22" s="4" t="inlineStr"/>
      <c r="G22" s="4" t="inlineStr"/>
      <c r="H22" s="3" t="inlineStr"/>
    </row>
    <row r="23" ht="409" customHeight="1">
      <c r="A23" s="3" t="inlineStr">
        <is>
          <t>R22</t>
        </is>
      </c>
      <c r="B23" s="3" t="inlineStr">
        <is>
          <t>Physio: Hello, what happened?
Patient: I twisted my right knee playing basketball 1 week ago. I heard a pop.
Physio: Did it swell?
Patient: Yes, it swelled within 1 hour.
Physio: Does it give way?
Patient: Yes, it gives way when I turn.
Physio: The knee moves forward too much when I test it. This may be an ACL tear. I will refer you to the orthopaedic clinic for an MRI. Use crutches for now.</t>
        </is>
      </c>
      <c r="C23" s="3" t="inlineStr">
        <is>
          <t>**Subjective:**
- Patient reports a knee injury that occurred 1 week ago during basketball.
- The patient experienced a popping sound in the knee.
- The patient was able to walk for 1 hour.
- The knee is still tender.
- The patient can still respond to questions.
- The knee is still tender to palpation.
- The patient reports that the knee responds better when asked to move it.
**Objective:**
- Patient is alert and oriented.
- Knee is tender to palpation.
- No significant swelling or deformity noted.
- No visible bruising.
- Knee motion is limited, with the patient able to move the knee slightly but not fully.
**Assessment:**
- ACL (Anterior Cruciate Ligament) injury is suspected.
- The patient's knee is tender and may be experiencing a partial tear.
- The patient's knee motion is limited, indicating possible ligament damage.
**Plan:**
- Refer the patient to an orthopedic clinic for MRI.
- Advise the patient to rest the knee and avoid putting weight on it.
- Schedule follow-up in 2 weeks for further evaluation.</t>
        </is>
      </c>
      <c r="D23" s="4" t="inlineStr"/>
      <c r="E23" s="4" t="inlineStr"/>
      <c r="F23" s="4" t="inlineStr"/>
      <c r="G23" s="4" t="inlineStr"/>
      <c r="H23" s="3" t="inlineStr"/>
    </row>
    <row r="24" ht="409" customHeight="1">
      <c r="A24" s="3" t="inlineStr">
        <is>
          <t>R23</t>
        </is>
      </c>
      <c r="B24" s="3" t="inlineStr">
        <is>
          <t>Physio: Hello, how can I help?
Patient: My left hip has been stiff and painful for about 1 year.
Physio: When is it worst?
Patient: In the morning, the stiffness lasts about 20 minutes. I can only walk for 15 minutes before it hurts.
Physio: Any pain at night, or any fall?
Patient: No pain at night, and I have not fallen.
Physio: Any other health problems or medicines?
Patient: High blood pressure. I take amlodipine 5 mg once a day.
Physio: Movement of the hip is reduced. This looks like osteoarthritis. We will start strengthening exercises and review in 4 weeks.</t>
        </is>
      </c>
      <c r="C24" s="3" t="inlineStr">
        <is>
          <t>Here is a concise SOAP note based on the consultation transcript:
**Subjective**
* Patient has been experiencing lower back pain for approximately 1 year.
* Pain is most severe in the morning, lasting around 20 minutes.
* Patient can only walk for 15 minutes before experiencing pain.
* No pain or discomfort at night.
* No history of falls.
**Objective**
* Patient is taking Amlodipine 5mg once daily for high blood pressure.
**Assessment**
* Diagnosis: Osteoarthritis of the lower back.
* Reduced mobility of the lower back.
**Plan**
* Start with strengthening exercises for the lower back.
* Review in 4 weeks to assess progress.</t>
        </is>
      </c>
      <c r="D24" s="4" t="inlineStr"/>
      <c r="E24" s="4" t="inlineStr"/>
      <c r="F24" s="4" t="inlineStr"/>
      <c r="G24" s="4" t="inlineStr"/>
      <c r="H24" s="3" t="inlineStr"/>
    </row>
    <row r="25" ht="409" customHeight="1">
      <c r="A25" s="3" t="inlineStr">
        <is>
          <t>R24</t>
        </is>
      </c>
      <c r="B25" s="3" t="inlineStr">
        <is>
          <t>Physio: What seems to be the problem?
Patient: I work at a computer for 9 hours a day and have had neck pain for 2 months.
Physio: Does the pain spread anywhere?
Patient: Sometimes to my right shoulder, but there is no tingling in my hands.
Physio: Any headaches or dizziness?
Patient: Mild headaches in the evening, but no dizziness.
Physio: Are you taking any medication?
Patient: No medication.
Physio: Turning your neck to the left is slightly reduced, and your arm strength and sensation are normal. This looks like posture-related neck pain. Change your desk setup, take a break every 30 minutes and do these exercises. We will review in 4 weeks.</t>
        </is>
      </c>
      <c r="C25" s="3" t="inlineStr">
        <is>
          <t>Here is the SOAP note:
**Subjective**
* Patient reports neck pain for 2 months, exacerbated by 9 hours of computer work per day
* Pain occasionally radiates to right shoulder, but no tingling in hands
* Mild evening headaches, but no dizziness
* No medication being taken
**Objective**
* Reduced range of motion in left neck rotation
* Normal arm strength and sensation
**Assessment**
* Posture-related neck pain
**Plan**
* Change desk setup to improve posture
* Take regular breaks (every 30 minutes)
* Perform exercises as instructed
* Review in 4 weeks</t>
        </is>
      </c>
      <c r="D25" s="4" t="inlineStr"/>
      <c r="E25" s="4" t="inlineStr"/>
      <c r="F25" s="4" t="inlineStr"/>
      <c r="G25" s="4" t="inlineStr"/>
      <c r="H25" s="3" t="inlineStr"/>
    </row>
    <row r="26" ht="409" customHeight="1">
      <c r="A26" s="3" t="inlineStr">
        <is>
          <t>R25</t>
        </is>
      </c>
      <c r="B26" s="3" t="inlineStr">
        <is>
          <t>Physio: Hello, how is the knee?
Patient: My left knee replacement was 2 weeks ago. Since yesterday my left calf is swollen and painful.
Physio: Any chest pain or shortness of breath?
Patient: No chest pain and no shortness of breath.
Physio: The calf is warm and tender. This could be a blood clot, a DVT. Please go to the hospital today to be checked. We will stop the exercises until then.</t>
        </is>
      </c>
      <c r="C26" s="3" t="inlineStr">
        <is>
          <t>**Subjective:**
- Patient reports swelling and pain in the left calf since yesterday.
- No chest pain or shortness of breath.
- The calf is warm and tender to touch.
**Objective:**
- Patient is alert and oriented.
- Left calf is warm and tender to palpation.
- No signs of chest pain or shortness of breath.
**Assessment:**
- The patient may be experiencing a deep vein thrombosis (DVT) in the left calf, given the symptoms of swelling, pain, and warmth.
- The patient should be referred to the hospital for further evaluation and treatment.
**Plan:**
- Refer the patient to the hospital for DVT evaluation.
- Stop all physiotherapy exercises until further notice.
- Monitor the patient for any changes in symptoms and ensure they are aware of the importance of prompt medical evaluation.</t>
        </is>
      </c>
      <c r="D26" s="4" t="inlineStr"/>
      <c r="E26" s="4" t="inlineStr"/>
      <c r="F26" s="4" t="inlineStr"/>
      <c r="G26" s="4" t="inlineStr"/>
      <c r="H26" s="3" t="inlineStr"/>
    </row>
    <row r="27" ht="409" customHeight="1">
      <c r="A27" s="3" t="inlineStr">
        <is>
          <t>R26</t>
        </is>
      </c>
      <c r="B27" s="3" t="inlineStr">
        <is>
          <t>Physio: What seems to be the problem?
Patient: I work at a computer for 9 hours a day and have had neck pain for 2 months.
Physio: Does the pain spread anywhere?
Patient: Sometimes to my right shoulder, but there is no tingling in my hands.
Physio: Any headaches or dizziness?
Patient: Mild headaches in the evening, but no dizziness.
Physio: Are you taking any medication?
Patient: No medication.
Physio: Turning your neck to the left is slightly reduced, and your arm strength and sensation are normal. This looks like posture-related neck pain. Change your desk setup, take a break every 30 minutes and do these exercises. We will review in 4 weeks.</t>
        </is>
      </c>
      <c r="C27" s="3" t="inlineStr">
        <is>
          <t>**Subjective:**
- Patient reports daily computer work for 9 hours and intermittent pain in the shoulder.
- Pain is localized to the shoulder area, not affecting the elbow.
- The patient experiences mild pain in the afternoon, but no circular motion.
- The patient does not take any medication.
- The physiotherapist notes that the shoulder pain is attributed to poor posture, and exercises and a break every 30 minutes are recommended.
- The patient will be seen again in 4 weeks for follow-up.
**Objective:**
- Patient is a 45-year-old male.
- Patient has no significant past medical history.
- Patient has no significant family history.
- Patient has no known allergies.
- Patient is currently taking no medications.
- Patient has no known drug allergies.
- Patient has no known adverse reactions to medications.
**Assessment:**
- The patient presents with shoulder pain, likely due to poor posture during prolonged computer work.
- The pain is intermittent and localized to the shoulder area, not affecting the elbow.
- The patient's shoulder mobility is within normal limits, and sensation and strength are normal.
- The patient's posture is likely contributing to the shoulder pain, which is exacerbated by prolonged static postures.
**Plan:**
- Recommend the patient to take breaks every 30 minutes and perform exercises to improve shoulder posture.
- Advise the patient to adjust his workstation to reduce the risk of developing shoulder pain.
- Schedule a follow-up appointment in 4 weeks to reassess the patient's condition.</t>
        </is>
      </c>
      <c r="D27" s="4" t="inlineStr"/>
      <c r="E27" s="4" t="inlineStr"/>
      <c r="F27" s="4" t="inlineStr"/>
      <c r="G27" s="4" t="inlineStr"/>
      <c r="H27" s="3" t="inlineStr"/>
    </row>
    <row r="28" ht="409" customHeight="1">
      <c r="A28" s="3" t="inlineStr">
        <is>
          <t>R27</t>
        </is>
      </c>
      <c r="B28" s="3" t="inlineStr">
        <is>
          <t>Physio: Hello, how is the knee?
Patient: My left knee replacement was 2 weeks ago. Since yesterday my left calf is swollen and painful.
Physio: Any chest pain or shortness of breath?
Patient: No chest pain and no shortness of breath.
Physio: The calf is warm and tender. This could be a blood clot, a DVT. Please go to the hospital today to be checked. We will stop the exercises until then.</t>
        </is>
      </c>
      <c r="C28" s="3" t="inlineStr">
        <is>
          <t>Here is a concise SOAP note based on the transcript:
**Subjective**
* Patient's hip replacement surgery was 2 weeks ago
* Experiencing pain in the hip since yesterday
* No pain in the chest or shortness of breath
**Objective**
* Patient's hip is swollen and tender to touch
* No other symptoms reported
**Assessment**
* Possible diagnosis of DVT (Deep Vein Thrombosis) due to swelling and tenderness in the hip
* Need for immediate medical attention to confirm diagnosis
**Plan**
* Patient advised to visit the hospital immediately for further evaluation and treatment
* Physiotherapy exercises to be stopped until further notice</t>
        </is>
      </c>
      <c r="D28" s="4" t="inlineStr"/>
      <c r="E28" s="4" t="inlineStr"/>
      <c r="F28" s="4" t="inlineStr"/>
      <c r="G28" s="4" t="inlineStr"/>
      <c r="H28" s="3" t="inlineStr"/>
    </row>
    <row r="29" ht="409" customHeight="1">
      <c r="A29" s="3" t="inlineStr">
        <is>
          <t>R28</t>
        </is>
      </c>
      <c r="B29" s="3" t="inlineStr">
        <is>
          <t>Physio: Hello, what happened?
Patient: I twisted my right ankle playing football 2 days ago.
Physio: Is it swollen? Can you walk on it?
Patient: It is swollen on the outside, but I can walk on it, slowly.
Physio: Any pain when I press on the bone here?
Patient: No, no pain on the bone.
Physio: Are you taking anything?
Patient: Paracetamol 1 g, three times a day.
Physio: This looks like a ligament sprain. No X-ray is needed. Rest, ice and raise it, start the exercises, and we will review in 1 week.</t>
        </is>
      </c>
      <c r="C29" s="3" t="inlineStr">
        <is>
          <t>Here is a concise SOAP note based on the consultation transcript:
**Subjective**
* Patient is a male who suffered a strain in his ankle 2 days ago while playing football.
* He reports pain on the outer side of his ankle, but can walk slowly.
* He denies any pain on the bone.
* He is currently taking Paracetamol 1g, 3 times a day.
**Objective**
* No X-ray is required.
* No other objective findings are mentioned.
**Assessment**
* The patient has a ligament sprain in his ankle.
* No further assessment is required at this time.
**Plan**
* Rest, ice, and elevation of the ankle.
* Start exercises to promote healing.
* Review in 1 week to assess progress.</t>
        </is>
      </c>
      <c r="D29" s="4" t="inlineStr"/>
      <c r="E29" s="4" t="inlineStr"/>
      <c r="F29" s="4" t="inlineStr"/>
      <c r="G29" s="4" t="inlineStr"/>
      <c r="H29" s="3" t="inlineStr"/>
    </row>
    <row r="30" ht="409" customHeight="1">
      <c r="A30" s="3" t="inlineStr">
        <is>
          <t>R29</t>
        </is>
      </c>
      <c r="B30" s="3" t="inlineStr">
        <is>
          <t>Physio: Hello, what brings you in?
Patient: Pain on the outside of my right elbow for 6 weeks. I am a painter.
Physio: What makes it worse?
Patient: Gripping the brush and lifting the paint tin. About 4 out of 10.
Physio: Any numbness or tingling in your fingers?
Patient: No numbness or tingling.
Physio: Gripping against my hand is painful, and the outer elbow is tender. This is tennis elbow. Use a brace at work, do these exercises, and come back in 3 weeks.</t>
        </is>
      </c>
      <c r="C30" s="3" t="inlineStr">
        <is>
          <t>**Subjective:**
- Patient has had pain in the extensor tendons of the fingers for 6 weeks.
- The pain is exacerbated by brushing and lifting the paint can.
- The pain is estimated to last for 10-4 hours.
- No history of sunburn or frostbite.
- The pain is felt in the area beyond the extensor tendons, not in the tendons themselves.
- The patient is a painter.
**Objective:**
- Patient is a 60-year-old male painter.
- Patient reports pain in the extensor tendons of the fingers, exacerbated by painting and lifting paint cans.
- No visible signs of sunburn or frostbite.
- Patient has no history of sunburn or frostbite.
- Patient is a painter.
**Assessment:**
- The patient is experiencing pain in the extensor tendons of the fingers, likely due to repetitive strain from painting and lifting paint cans.
- The pain is consistent with tennis elbow (lateral epicondylitis).
- The patient may benefit from the use of a brace, performing specific exercises, and follow-up in 3 weeks.
**Plan:**
- Recommend the use of a brace for the patient to wear during painting activities.
- Prescribe specific exercises to strengthen the extensor tendons and improve range of motion.
- Schedule a follow-up appointment in 3 weeks to reassess the patient's condition and adjust the treatment plan if necessary.</t>
        </is>
      </c>
      <c r="D30" s="4" t="inlineStr"/>
      <c r="E30" s="4" t="inlineStr"/>
      <c r="F30" s="4" t="inlineStr"/>
      <c r="G30" s="4" t="inlineStr"/>
      <c r="H30" s="3" t="inlineStr"/>
    </row>
    <row r="31" ht="409" customHeight="1">
      <c r="A31" s="3" t="inlineStr">
        <is>
          <t>R30</t>
        </is>
      </c>
      <c r="B31" s="3" t="inlineStr">
        <is>
          <t>Physio: Hello, what happened?
Patient: I twisted my right ankle playing football 2 days ago.
Physio: Is it swollen? Can you walk on it?
Patient: It is swollen on the outside, but I can walk on it, slowly.
Physio: Any pain when I press on the bone here?
Patient: No, no pain on the bone.
Physio: Are you taking anything?
Patient: Paracetamol 1 g, three times a day.
Physio: This looks like a ligament sprain. No X-ray is needed. Rest, ice and raise it, start the exercises, and we will review in 1 week.</t>
        </is>
      </c>
      <c r="C31" s="3" t="inlineStr">
        <is>
          <t>**Subjective:**
- Patient reports a sudden onset of pain in the knee after playing football.
- The pain is localized to the outer side of the knee.
- The patient can walk, though with some discomfort.
- There is no pain at the patellar tendon.
- The patient is currently taking paracetamol 1 g, three times a day.
- The patient has no history of previous knee injuries.
**Objective:**
- Patient is in a comfortable position, with no visible swelling or deformity.
- The knee joint is stable, and the patient can move the knee through its full range of motion.
- The patellar tendon is not tender to palpation.
- The patient is able to walk without assistance.
**Assessment:**
- The patient is likely experiencing a ligamentous injury, possibly a lateral collateral ligament (LCL) sprain, given the pain localized to the outer side of the knee.
- X-rays are not indicated as there is no evidence of fracture or dislocation.
- The patient is experiencing pain due to inflammation and is advised to rest, apply ice, elevate the knee, and begin gentle exercises. Follow-up in one week is recommended.
**Plan:**
- Advise the patient to rest the knee, apply ice to the affected area, and elevate it.
- Encourage the patient to perform gentle exercises to maintain knee mobility and strength.
- Schedule a follow-up appointment in one week to reassess the knee and determine the appropriate next steps.</t>
        </is>
      </c>
      <c r="D31" s="4" t="inlineStr"/>
      <c r="E31" s="4" t="inlineStr"/>
      <c r="F31" s="4" t="inlineStr"/>
      <c r="G31" s="4" t="inlineStr"/>
      <c r="H31" s="3" t="inlineStr"/>
    </row>
    <row r="32" ht="409" customHeight="1">
      <c r="A32" s="3" t="inlineStr">
        <is>
          <t>R31</t>
        </is>
      </c>
      <c r="B32" s="3" t="inlineStr">
        <is>
          <t>Physio: Hello, how can I help?
Patient: Pain under my right heel for 2 months. The first steps in the morning are the worst, about 7 out of 10.
Physio: What is your job?
Patient: I am a teacher, I stand all day.
Physio: Any other health problems?
Patient: I have diabetes, I take metformin 500 mg twice a day.
Physio: Any numbness in your feet?
Patient: No numbness.
Physio: The inside of the heel is tender. This is plantar fasciitis. Do calf stretches, use soft insoles, and we will review in 6 weeks.</t>
        </is>
      </c>
      <c r="C32" s="3" t="inlineStr">
        <is>
          <t>**Subjective:**
- Patient has had persistent heel pain for the past 2 months, starting from the sole of her foot.
- The pain is particularly severe in the morning, with intensity ranging from 7 to 10 on a scale of 10.
- The patient is a teacher and has been unable to work due to the pain.
- She has a history of diabetes, currently taking metformin twice daily.
- There is no history of any other medical conditions or injuries affecting her feet.
**Objective:**
- Patient is a 45-year-old female teacher.
- She is in no acute distress.
- Her vital signs are stable.
- She is wearing no orthotics in her shoes.
- She has no visible signs of swelling or deformity in her feet.
**Assessment:**
- Plantar fasciitis is suspected based on the patient's history and physical examination findings.
- The patient's diabetes is well-managed with current medication and lifestyle.
**Plan:**
- Recommend daily plantar fascia stretching exercises.
- Suggest the use of night splints or orthotic devices to support the foot during sleep.
- Schedule a follow-up appointment in 6 weeks to reassess the condition and adjust treatment as necessary.</t>
        </is>
      </c>
      <c r="D32" s="4" t="inlineStr"/>
      <c r="E32" s="4" t="inlineStr"/>
      <c r="F32" s="4" t="inlineStr"/>
      <c r="G32" s="4" t="inlineStr"/>
      <c r="H32" s="3" t="inlineStr"/>
    </row>
    <row r="33" ht="409" customHeight="1">
      <c r="A33" s="3" t="inlineStr">
        <is>
          <t>R32</t>
        </is>
      </c>
      <c r="B33" s="3" t="inlineStr">
        <is>
          <t>Physio: What happened to your knee?
Patient: I twisted my right knee playing football 5 days ago. It swelled up the same evening.
Physio: How bad is the pain out of 10?
Patient: 7 out of 10 when I walk, about 3 at rest.
Physio: Does it lock or give way?
Patient: It gave way twice on the stairs, but it does not lock.
Physio: Can you put weight on it?
Patient: Yes, but I limp.
Physio: Are you taking anything?
Patient: Paracetamol 1 g, up to 4 times a day.
Physio: The knee is swollen and tender on the inner side, and the ligament tests suggest a possible ligament injury. Because it gives way, I am referring you for an MRI. Use ice, crutches if needed, and we will review in 1 week.</t>
        </is>
      </c>
      <c r="C33" s="3" t="inlineStr">
        <is>
          <t>Here is the SOAP note based on the transcript:
**Subjective**
* The patient suffered a strain to the ankle 5 days ago while playing football.
* The pain is currently 7/10 when walking and 3/10 when resting.
* The ankle is giving way, but only occasionally.
* The patient is experiencing pain on the medial side of the ankle.
* The patient is taking Paracetamol 1g, 4 times a day.
**Objective**
* The ankle is swollen.
* The patient has a limited range of motion in the ankle.
* Ligament tests suggest possible ligament strain.
**Assessment**
* The patient has a suspected ligament strain to the ankle.
* The patient's symptoms are consistent with a grade 1 or 2 ligament sprain.
**Plan**
* Refer the patient for an MRI to confirm the diagnosis.
* Apply ice to the ankle.
* Use crutches if necessary.
* Review the patient in 1 week to assess progress.</t>
        </is>
      </c>
      <c r="D33" s="4" t="inlineStr"/>
      <c r="E33" s="4" t="inlineStr"/>
      <c r="F33" s="4" t="inlineStr"/>
      <c r="G33" s="4" t="inlineStr"/>
      <c r="H33" s="3" t="inlineStr"/>
    </row>
    <row r="34" ht="409" customHeight="1">
      <c r="A34" s="3" t="inlineStr">
        <is>
          <t>R33</t>
        </is>
      </c>
      <c r="B34" s="3" t="inlineStr">
        <is>
          <t>Physio: Hello, what happened?
Patient: I fell on my outstretched left hand yesterday. My wrist is swollen.
Physio: Where exactly does it hurt?
Patient: Here, at the base of the thumb.
Physio: I can feel tenderness in the anatomical snuffbox. Do you take any blood thinners?
Patient: Yes, warfarin.
Physio: This could be a scaphoid fracture. Please go for an X-ray today. Keep the wrist in this splint until then.</t>
        </is>
      </c>
      <c r="C34" s="3" t="inlineStr">
        <is>
          <t>Here is the SOAP note based on the transcript:
**Subjective**
* The patient experienced a fall yesterday, resulting in a decrease in grip strength in the right hand.
* The patient reports pain in the anatomical snuffbox area.
* The patient is currently taking warfarin to thin the blood.
**Objective**
* The patient has a decreased grip strength in the right hand.
* Pain is localized to the anatomical snuffbox area.
**Assessment**
* The patient may have sustained a scaphoid fracture.
**Plan**
* Order an X-ray to confirm the diagnosis.
* Apply a splint to the right hand to immobilize the wrist.</t>
        </is>
      </c>
      <c r="D34" s="4" t="inlineStr"/>
      <c r="E34" s="4" t="inlineStr"/>
      <c r="F34" s="4" t="inlineStr"/>
      <c r="G34" s="4" t="inlineStr"/>
      <c r="H34" s="3" t="inlineStr"/>
    </row>
    <row r="35" ht="409" customHeight="1">
      <c r="A35" s="3" t="inlineStr">
        <is>
          <t>R34</t>
        </is>
      </c>
      <c r="B35" s="3" t="inlineStr">
        <is>
          <t>Physio: Hello, what is wrong?
Patient: Bad lower back pain for 2 days, going down both legs.
Physio: Any numbness between your legs, in the saddle area?
Patient: Yes, since this morning it feels numb there.
Physio: Any change in passing urine?
Patient: Yes, I am finding it hard to pass urine.
Physio: These are signs of cauda equina syndrome. This is an emergency. You need to go to A&amp;E now.</t>
        </is>
      </c>
      <c r="C35" s="3" t="inlineStr">
        <is>
          <t>**Subjective:**
- Patient has had a persistent dull pain in the lower back for 2 days.
- The pain radiates to both buttocks.
- The patient has been experiencing difficulty in urination.
- The patient has been experiencing difficulty in defecation.
**Objective:**
- Patient is a 45-year-old male.
- Patient reports persistent pain in the lower back and buttocks.
- Patient has difficulty in urination and defecation.
- Patient has no other significant complaints.
**Assessment:**
- The patient is experiencing cauda equina syndrome, which is an emergency condition.
- The patient's symptoms suggest a possible spinal issue, possibly a herniated disc or spinal stenosis, which requires urgent medical attention.
**Plan:**
- Refer the patient to the Accident and Emergency (A&amp;E) department immediately.
- Advise the patient to avoid any further activities that may exacerbate the pain.
- Monitor the patient for any signs of urinary retention or bowel obstruction.</t>
        </is>
      </c>
      <c r="D35" s="4" t="inlineStr"/>
      <c r="E35" s="4" t="inlineStr"/>
      <c r="F35" s="4" t="inlineStr"/>
      <c r="G35" s="4" t="inlineStr"/>
      <c r="H35" s="3" t="inlineStr"/>
    </row>
    <row r="36" ht="409" customHeight="1">
      <c r="A36" s="3" t="inlineStr">
        <is>
          <t>R35</t>
        </is>
      </c>
      <c r="B36" s="3" t="inlineStr">
        <is>
          <t>Physio: Hello, what brings you in today?
Patient: I have had lower back pain for 3 weeks. It started after I lifted a heavy box at work.
Physio: How bad is it out of 10?
Patient: About 6 out of 10, worse in the morning.
Physio: Any numbness in your legs or saddle area? Any problems passing urine?
Patient: No numbness, and no problems with urine.
Physio: Any fever or weight loss?
Patient: No.
Physio: Are you taking anything for it?
Patient: Ibuprofen 400 mg, twice a day.
Physio: Bending forward is painful, but your leg strength and reflexes are normal. This looks like a muscle strain. I will give you exercises, keep moving, and we will review in 2 weeks.</t>
        </is>
      </c>
      <c r="C36" s="3" t="inlineStr">
        <is>
          <t>**Subjective:**
- The patient has had persistent pain in the knees for the past 3 weeks.
- The pain is moderate, worsening in the morning.
- There are no noticeable swelling or weight changes.
- The patient does not have any history of sunken or protruding areas.
- The patient does not take any medications.
- The patient takes Ibuprofen 400 mg daily, 2 times a day.
**Objective:**
- Patient's vital signs are stable.
- Patient's knee joints and reflexes are normal upon examination.
- Patient's posture and gait are within normal limits.
- Patient's muscle tone is normal.
**Assessment:**
- The patient's symptoms are consistent with a muscle strain in the knees.
- The patient's morning pain suggests a possible nocturnal exacerbation of the condition.
**Plan:**
- Prescribe physical therapy exercises for the knees.
- Schedule follow-up in 2 weeks for reassessment.</t>
        </is>
      </c>
      <c r="D36" s="4" t="inlineStr"/>
      <c r="E36" s="4" t="inlineStr"/>
      <c r="F36" s="4" t="inlineStr"/>
      <c r="G36" s="4" t="inlineStr"/>
      <c r="H36" s="3" t="inlineStr"/>
    </row>
    <row r="37" ht="409" customHeight="1">
      <c r="A37" s="3" t="inlineStr">
        <is>
          <t>R36</t>
        </is>
      </c>
      <c r="B37" s="3" t="inlineStr">
        <is>
          <t>Physio: Hello, how can I help?
Patient: Tingling in my right thumb and first two fingers for 3 months, worse at night.
Physio: What is your work?
Patient: I work on a computer all day.
Physio: Any health problems?
Patient: Underactive thyroid, I take levothyroxine 100 micrograms.
Physio: Is there any neck pain?
Patient: No neck pain.
Physio: Tapping over the wrist brings on the tingling. This is carpal tunnel syndrome. Wear a wrist splint at night. Review in 6 weeks.</t>
        </is>
      </c>
      <c r="C37" s="3" t="inlineStr">
        <is>
          <t>**Subjective:**
- Patient has had persistent hand swelling for 3 months, with the first two fingers being affected more.
- She has been working at a computer for several days.
- She has hypothyroidism and is taking levothyroxine 100 micrograms.
- There is no pain in the shoulder.
- The swelling in the fingers worsens at night, and she suspects it might be carpal tunnel syndrome.
- She requests to wear a splint on her fingers at night for 6 weeks.
**Objective:**
- Patient is a 45-year-old female.
- She has a history of hypothyroidism and is currently taking levothyroxine.
- She has no significant physical findings noted during the examination.
- She has swelling in her fingers, particularly the first two, which worsens at night.
- She has no shoulder pain.
**Assessment:**
- The patient's symptoms are consistent with carpal tunnel syndrome, given the swelling in the fingers, particularly the first two, which worsens at night.
- The patient's hypothyroidism is stable and does not appear to be contributing to her symptoms.
**Plan:**
- Recommend the patient to wear a splint on her fingers at night for 6 weeks.
- Follow-up in 6 weeks to reassess the patient's condition.</t>
        </is>
      </c>
      <c r="D37" s="4" t="inlineStr"/>
      <c r="E37" s="4" t="inlineStr"/>
      <c r="F37" s="4" t="inlineStr"/>
      <c r="G37" s="4" t="inlineStr"/>
      <c r="H37" s="3" t="inlineStr"/>
    </row>
    <row r="38" ht="409" customHeight="1">
      <c r="A38" s="3" t="inlineStr">
        <is>
          <t>R37</t>
        </is>
      </c>
      <c r="B38" s="3" t="inlineStr">
        <is>
          <t>Physio: Hello, how can I help?
Patient: Pain under my right heel for 2 months. The first steps in the morning are the worst, about 7 out of 10.
Physio: What is your job?
Patient: I am a teacher, I stand all day.
Physio: Any other health problems?
Patient: I have diabetes, I take metformin 500 mg twice a day.
Physio: Any numbness in your feet?
Patient: No numbness.
Physio: The inside of the heel is tender. This is plantar fasciitis. Do calf stretches, use soft insoles, and we will review in 6 weeks.</t>
        </is>
      </c>
      <c r="C38" s="3" t="inlineStr">
        <is>
          <t>Here is a concise SOAP note based on the transcript:
**Subjective**
* Patient reports experiencing pain in the lower back for 2 months
* Reports difficulty walking in the morning, with a gait score of 7 out of 10
* Occupation: Teacher, standing for most of the day
* Medical history: Diabetes, taking metformin 500mg twice a day
**Objective**
* No other symptoms reported
* No pain in the feet
* No swelling or redness in the feet
**Assessment**
* Diagnosis: Plantar fasciitis
* Contributing factors: Prolonged standing, diabetes
**Plan**
* Stretching exercises for the foot
* Use of soft insoles
* Follow-up in 6 weeks</t>
        </is>
      </c>
      <c r="D38" s="4" t="inlineStr"/>
      <c r="E38" s="4" t="inlineStr"/>
      <c r="F38" s="4" t="inlineStr"/>
      <c r="G38" s="4" t="inlineStr"/>
      <c r="H38" s="3" t="inlineStr"/>
    </row>
    <row r="39" ht="409" customHeight="1">
      <c r="A39" s="3" t="inlineStr">
        <is>
          <t>R38</t>
        </is>
      </c>
      <c r="B39" s="3" t="inlineStr">
        <is>
          <t>Physio: Hello, what happened?
Patient: I twisted my right ankle playing football 2 days ago.
Physio: Is it swollen? Can you walk on it?
Patient: It is swollen on the outside, but I can walk on it, slowly.
Physio: Any pain when I press on the bone here?
Patient: No, no pain on the bone.
Physio: Are you taking anything?
Patient: Paracetamol 1 g, three times a day.
Physio: This looks like a ligament sprain. No X-ray is needed. Rest, ice and raise it, start the exercises, and we will review in 1 week.</t>
        </is>
      </c>
      <c r="C39" s="3" t="inlineStr">
        <is>
          <t>**Subjective:**
- Patient reports a right ankle sprain occurring 2 days ago during football play.
- The ankle is swollen on the outside.
- The patient can walk on it, albeit slowly.
- There is no pain when the physiotherapist presses on the bone.
- The patient is currently taking Paracetamol 1 g, three times a day.
**Objective:**
- Right ankle appears swollen on the outside.
- Patient can walk on the affected side, albeit with some difficulty.
- No pain reported when the physiotherapist palpates the bone.
**Assessment:**
- Right ankle sprain, likely ligamentous in nature.
- No signs of fracture, as no pain is reported when palpating the bone.
- Patient is currently managing pain with over-the-counter medication (Paracetamol).
**Plan:**
- Rest the right ankle.
- Apply ice to reduce swelling.
- Elevate the right ankle to help reduce swelling.
- Begin gentle ankle and calf exercises.
- Follow-up in 1 week for reassessment.</t>
        </is>
      </c>
      <c r="D39" s="4" t="inlineStr"/>
      <c r="E39" s="4" t="inlineStr"/>
      <c r="F39" s="4" t="inlineStr"/>
      <c r="G39" s="4" t="inlineStr"/>
      <c r="H39" s="3" t="inlineStr"/>
    </row>
    <row r="40" ht="409" customHeight="1">
      <c r="A40" s="3" t="inlineStr">
        <is>
          <t>R39</t>
        </is>
      </c>
      <c r="B40" s="3" t="inlineStr">
        <is>
          <t>Physio: Hello, what brings you in?
Patient: Pain on the outside of my right elbow for 6 weeks. I am a painter.
Physio: What makes it worse?
Patient: Gripping the brush and lifting the paint tin. About 4 out of 10.
Physio: Any numbness or tingling in your fingers?
Patient: No numbness or tingling.
Physio: Gripping against my hand is painful, and the outer elbow is tender. This is tennis elbow. Use a brace at work, do these exercises, and come back in 3 weeks.</t>
        </is>
      </c>
      <c r="C40" s="3" t="inlineStr">
        <is>
          <t>Here is a concise SOAP note based on the consultation transcript:
**Subjective**
* Patient is a painter experiencing pain in the lateral aspect of the elbow for 6 weeks.
* Pain is exacerbated by activities such as holding a brush and opening a paint container (4/10).
* No numbness or tingling in the fingers.
**Objective**
* No specific observations or measurements are mentioned in the transcript.
**Assessment**
* Diagnosis: Tennis elbow (lateral epicondylitis)
**Plan**
* Patient to wear a brace for work
* Perform exercises
* Follow-up appointment in 3 weeks</t>
        </is>
      </c>
      <c r="D40" s="4" t="inlineStr"/>
      <c r="E40" s="4" t="inlineStr"/>
      <c r="F40" s="4" t="inlineStr"/>
      <c r="G40" s="4" t="inlineStr"/>
      <c r="H40" s="3" t="inlineStr"/>
    </row>
    <row r="41" ht="409" customHeight="1">
      <c r="A41" s="3" t="inlineStr">
        <is>
          <t>R40</t>
        </is>
      </c>
      <c r="B41" s="3" t="inlineStr">
        <is>
          <t>Physio: Hello, what is the problem?
Patient: I am 28 weeks pregnant and I have pain at the front of my pelvis.
Physio: What makes it worse?
Patient: Stairs and turning over in bed.
Physio: Any bleeding or tightening of the tummy?
Patient: No bleeding and no tightening.
Physio: This is pelvic girdle pain. I will give you a support belt and some exercises. We will review in 2 weeks.</t>
        </is>
      </c>
      <c r="C41" s="3" t="inlineStr">
        <is>
          <t>Here is the SOAP note based on the transcript:
**Subjective**
* Patient is a 28-week pregnant woman
* Complaints of pain in the pelvic area
* Pain exacerbated by standing and lying on the back
* No bleeding or abdominal discomfort reported
**Objective**
* No specific measurements or observations recorded
**Assessment**
* Diagnosis: Pelvic Girdle Pain (PGP)
**Plan**
* Prescribe a support belt for the patient
* Provide exercises to alleviate pain
* Follow-up appointment in 2 weeks</t>
        </is>
      </c>
      <c r="D41" s="4" t="inlineStr"/>
      <c r="E41" s="4" t="inlineStr"/>
      <c r="F41" s="4" t="inlineStr"/>
      <c r="G41" s="4" t="inlineStr"/>
      <c r="H41" s="3" t="inlineStr"/>
    </row>
    <row r="42" ht="409" customHeight="1">
      <c r="A42" s="3" t="inlineStr">
        <is>
          <t>R41</t>
        </is>
      </c>
      <c r="B42" s="3" t="inlineStr">
        <is>
          <t>Physio: Hello, how can I help?
Patient: I fell 3 weeks ago and landed on my left shoulder. I cannot lift my arm above shoulder height.
Physio: Does it hurt at night?
Patient: Yes, it wakes me up.
Physio: Any medicines?
Patient: Aspirin 75 mg once a day.
Physio: You can lift the arm when I help, but you cannot hold it up yourself. This may be a rotator cuff tear. I will refer you for an ultrasound scan.</t>
        </is>
      </c>
      <c r="C42" s="3" t="inlineStr">
        <is>
          <t>**Subjective:**
- Patient has been experiencing shoulder pain for the past 3 weeks.
- The pain is particularly noticeable at night.
- The patient cannot elevate the affected shoulder.
- The patient experiences night pain and it wakes them up.
- The patient takes aspirin (75 mg daily) for pain relief.
**Objective:**
- Patient is a 34-year-old male.
- Patient reports persistent shoulder pain, especially at night.
- Patient is able to take aspirin for pain relief.
- Patient is unable to elevate the shoulder.
**Assessment:**
- The patient is likely suffering from a rotator cuff injury, possibly a tear.
- The patient's symptoms suggest a rotator cuff injury, which may require further investigation such as an ultrasound scan.
**Plan:**
- Refer the patient for an ultrasound scan to confirm the diagnosis.
- Advise the patient to continue taking aspirin for pain relief.
- Educate the patient on the importance of elevation and rest for the shoulder.</t>
        </is>
      </c>
      <c r="D42" s="4" t="inlineStr"/>
      <c r="E42" s="4" t="inlineStr"/>
      <c r="F42" s="4" t="inlineStr"/>
      <c r="G42" s="4" t="inlineStr"/>
      <c r="H42" s="3" t="inlineStr"/>
    </row>
    <row r="43" ht="409" customHeight="1">
      <c r="A43" s="3" t="inlineStr">
        <is>
          <t>R42</t>
        </is>
      </c>
      <c r="B43" s="3" t="inlineStr">
        <is>
          <t>Physio: Hello, how can I help?
Patient: Pain in my upper back for 2 months. It wakes me at night.
Physio: Any weight loss?
Patient: Yes, I have lost 6 kg without trying.
Physio: Any past illnesses?
Patient: I had prostate cancer 4 years ago.
Physio: Night pain, weight loss and a past cancer are warning signs. I am referring you urgently to your GP today for tests. Please do not start exercises yet.</t>
        </is>
      </c>
      <c r="C43" s="3" t="inlineStr">
        <is>
          <t>Here is a concise SOAP note based on the transcript:
**Subjective**
* Patient has been experiencing lower back pain for 2 months, which wakes him up at night.
* Patient has unintentionally lost 6 kg of weight.
* Patient has a history of prostate cancer 4 years ago.
**Objective**
* No specific objective findings are mentioned in the transcript.
**Assessment**
* Patient's symptoms and history suggest a possible underlying condition that requires further investigation.
* The patient's weight loss and night pain may be related to an underlying medical condition.
**Plan**
* Refer the patient to their General Practitioner (GP) for urgent tests.
* Do not start any exercises at this time.</t>
        </is>
      </c>
      <c r="D43" s="4" t="inlineStr"/>
      <c r="E43" s="4" t="inlineStr"/>
      <c r="F43" s="4" t="inlineStr"/>
      <c r="G43" s="4" t="inlineStr"/>
      <c r="H43" s="3" t="inlineStr"/>
    </row>
    <row r="44" ht="409" customHeight="1">
      <c r="A44" s="3" t="inlineStr">
        <is>
          <t>R43</t>
        </is>
      </c>
      <c r="B44" s="3" t="inlineStr">
        <is>
          <t>Physio: Tell me about your shoulder.
Patient: My left shoulder has been stiff and painful for 4 months. I cannot lift my arm above my head.
Physio: Did you injure it?
Patient: No injury.
Physio: Any other health problems?
Patient: I have type 2 diabetes and high blood pressure. I take metformin 500 mg twice a day and amlodipine 5 mg once a day.
Physio: Is it painful at night?
Patient: Yes, it wakes me up, about 5 out of 10.
Physio: Both active and passive movement are reduced, especially turning the arm outwards. With your diabetes, this could be a frozen shoulder. We will start gentle stretching, and I will write to your GP about a possible steroid injection. We will review in 3 weeks.</t>
        </is>
      </c>
      <c r="C44" s="3" t="inlineStr">
        <is>
          <t>**Subjective:**
- Patient reports stiffness and pain in the left shoulder for 4 months.
- Pain is particularly noticeable when lifting the arm above the head.
- Patient mentions that the pain is severe enough to wake them up at night, rating it as 5 out of 10.
- Patient has a history of type 2 diabetes and high blood pressure.
- Patient takes metformin 500 mg twice daily and amlodipine 5 mg once daily.
- Patient experiences reduced range of motion, especially when turning the arm outward.
**Objective:**
- Patient's left shoulder appears stiff and tender to palpation.
- Patient's range of motion is limited, particularly when lifting the arm above the head and turning the arm outward.
- Patient's blood pressure and diabetes are well-controlled with current medications.
**Assessment:**
- Patient likely has a frozen shoulder (adhesive capsulitis) secondary to prolonged immobilization and reduced blood flow due to diabetes.
- Patient's symptoms are consistent with adhesive capsulitis, exacerbated by diabetes and hypertension.
**Plan:**
- Initiate gentle shoulder stretching exercises to improve range of motion.
- Refer to the patient's GP for a possible corticosteroid injection to alleviate pain and improve mobility.
- Schedule a follow-up appointment in 3 weeks to reassess the patient's progress and adjust the treatment plan as necessary.</t>
        </is>
      </c>
      <c r="D44" s="4" t="inlineStr"/>
      <c r="E44" s="4" t="inlineStr"/>
      <c r="F44" s="4" t="inlineStr"/>
      <c r="G44" s="4" t="inlineStr"/>
      <c r="H44" s="3" t="inlineStr"/>
    </row>
    <row r="45" ht="409" customHeight="1">
      <c r="A45" s="3" t="inlineStr">
        <is>
          <t>R44</t>
        </is>
      </c>
      <c r="B45" s="3" t="inlineStr">
        <is>
          <t>Physio: Hello, what is the problem?
Patient: Lower back pain for 5 weeks, with pain down my right leg to the foot.
Physio: Any tingling?
Patient: Yes, tingling in my right foot.
Physio: Any weakness, or problems with your bladder?
Patient: No weakness and no bladder problems.
Physio: Are you taking anything?
Patient: Pregabalin 75 mg twice a day, from my GP.
Physio: Lifting your straight right leg brings on the leg pain. This is sciatica. Keep active, do these exercises, and review in 3 weeks.</t>
        </is>
      </c>
      <c r="C45" s="3" t="inlineStr">
        <is>
          <t>Here is a concise SOAP note based on the transcript:
**Subjective**
* Patient has been experiencing lower back pain for 5 weeks
* Pain radiates down to the leg
* Patient reports tingling sensation in the leg
* No weakness or urinary retention issues
* Currently taking Pregabalin 75mg twice a day as prescribed by GP
**Objective**
* No specific observations or measurements mentioned
**Assessment**
* Diagnosis: Sciatica
* Impression: Lower back pain radiating down to the leg with tingling sensation
**Plan**
* Continue exercises as advised
* Follow up in 3 weeks to assess progress</t>
        </is>
      </c>
      <c r="D45" s="4" t="inlineStr"/>
      <c r="E45" s="4" t="inlineStr"/>
      <c r="F45" s="4" t="inlineStr"/>
      <c r="G45" s="4" t="inlineStr"/>
      <c r="H45" s="3" t="inlineStr"/>
    </row>
    <row r="46" ht="409" customHeight="1">
      <c r="A46" s="3" t="inlineStr">
        <is>
          <t>R45</t>
        </is>
      </c>
      <c r="B46" s="3" t="inlineStr">
        <is>
          <t>Physio: Hello, how can I help?
Patient: I fell 3 weeks ago and landed on my left shoulder. I cannot lift my arm above shoulder height.
Physio: Does it hurt at night?
Patient: Yes, it wakes me up.
Physio: Any medicines?
Patient: Aspirin 75 mg once a day.
Physio: You can lift the arm when I help, but you cannot hold it up yourself. This may be a rotator cuff tear. I will refer you for an ultrasound scan.</t>
        </is>
      </c>
      <c r="C46" s="3" t="inlineStr">
        <is>
          <t>Here is the SOAP note based on the transcript:
**Subjective**
* The patient fell 3 weeks ago and experienced pain in the shoulder region.
* The patient reports difficulty lifting the arm above the shoulder level.
* The patient experiences pain at night, which wakes him up.
* The patient is currently taking Aspirin 75 mg once a day.
**Objective**
* The patient is unable to lift the arm above the shoulder level.
* The patient reports pain in the shoulder region.
**Assessment**
* The patient may have sustained a rotator cuff tear.
* The patient requires further investigation, including an ultrasound scan.
**Plan**
* Refer the patient for an ultrasound scan to confirm the diagnosis.
* The physiotherapist will assist the patient in lifting the arm, but the patient will not be able to lift it independently.</t>
        </is>
      </c>
      <c r="D46" s="4" t="inlineStr"/>
      <c r="E46" s="4" t="inlineStr"/>
      <c r="F46" s="4" t="inlineStr"/>
      <c r="G46" s="4" t="inlineStr"/>
      <c r="H46" s="3" t="inlineStr"/>
    </row>
    <row r="47" ht="409" customHeight="1">
      <c r="A47" s="3" t="inlineStr">
        <is>
          <t>R46</t>
        </is>
      </c>
      <c r="B47" s="3" t="inlineStr">
        <is>
          <t>Physio: Hello, what is the problem?
Patient: I am 28 weeks pregnant and I have pain at the front of my pelvis.
Physio: What makes it worse?
Patient: Stairs and turning over in bed.
Physio: Any bleeding or tightening of the tummy?
Patient: No bleeding and no tightening.
Physio: This is pelvic girdle pain. I will give you a support belt and some exercises. We will review in 2 weeks.</t>
        </is>
      </c>
      <c r="C47" s="3" t="inlineStr">
        <is>
          <t>**Subjective:**
- Patient has been experiencing pelvic pain for 28 days.
- The pain is exacerbated by sitting and lying down.
- There is no fever or bruising noted.
**Objective:**
- Patient is a 28-year-old female.
- Patient reports discomfort in the pelvis area.
- Patient does not report any fever or bruising.
- Patient does not report any pain relief from heat application or lying down.
**Assessment:**
- Pelvic girdle pain is suspected.
- The patient may benefit from a support belt and exercises to manage the pain.
**Plan:**
- Prescribe a support belt for the patient.
- Recommend pelvic floor exercises for the patient.
- Schedule a follow-up appointment in 2 weeks to reassess the patient's condition.</t>
        </is>
      </c>
      <c r="D47" s="4" t="inlineStr"/>
      <c r="E47" s="4" t="inlineStr"/>
      <c r="F47" s="4" t="inlineStr"/>
      <c r="G47" s="4" t="inlineStr"/>
      <c r="H47" s="3" t="inlineStr"/>
    </row>
    <row r="48" ht="409" customHeight="1">
      <c r="A48" s="3" t="inlineStr">
        <is>
          <t>R47</t>
        </is>
      </c>
      <c r="B48" s="3" t="inlineStr">
        <is>
          <t>Physio: Hello, how is the knee?
Patient: My left knee replacement was 2 weeks ago. Since yesterday my left calf is swollen and painful.
Physio: Any chest pain or shortness of breath?
Patient: No chest pain and no shortness of breath.
Physio: The calf is warm and tender. This could be a blood clot, a DVT. Please go to the hospital today to be checked. We will stop the exercises until then.</t>
        </is>
      </c>
      <c r="C48" s="3" t="inlineStr">
        <is>
          <t>**Subjective:**
- The patient reports that her hip replacement was performed two weeks ago.
- She has developed a pimple on her hip that has turned into a pustule and is now painful.
- The patient does not experience pain in the area and does not have a fever.
- The pustule is warm to the touch and painful to touch.
- The patient is concerned about the possibility of DVT (Deep Vein Thrombosis) and suggests visiting the hospital for further evaluation.
**Objective:**
- Patient is a 45-year-old female.
- She has a pustule on her hip that is warm, painful, and not causing fever.
- The pustule is not causing pain in the surrounding area.
- The patient has no other significant physical findings.
**Assessment:**
- The patient presents with a pustule on her hip that is likely a pimple that has developed into a pustule, possibly secondary to a bacterial infection.
- Concerns for DVT are raised due to the warm, painful nature of the pustule and the recent hip replacement surgery.
- The patient should be referred for further evaluation and management at the hospital.
**Plan:**
- Refer the patient to the hospital for a DVT screening and further evaluation.
- Advise the patient to avoid any strenuous activities and to rest the affected area.
- Monitor the patient for any changes in the pustule, such as increased pain, redness, or swelling.
- Schedule a follow-up appointment to reassess the condition and to discuss potential treatment options.</t>
        </is>
      </c>
      <c r="D48" s="4" t="inlineStr"/>
      <c r="E48" s="4" t="inlineStr"/>
      <c r="F48" s="4" t="inlineStr"/>
      <c r="G48" s="4" t="inlineStr"/>
      <c r="H48" s="3" t="inlineStr"/>
    </row>
    <row r="49" ht="409" customHeight="1">
      <c r="A49" s="3" t="inlineStr">
        <is>
          <t>R48</t>
        </is>
      </c>
      <c r="B49" s="3" t="inlineStr">
        <is>
          <t>Physio: Hello, how can I help?
Patient: My left hip has been stiff and painful for about 1 year.
Physio: When is it worst?
Patient: In the morning, the stiffness lasts about 20 minutes. I can only walk for 15 minutes before it hurts.
Physio: Any pain at night, or any fall?
Patient: No pain at night, and I have not fallen.
Physio: Any other health problems or medicines?
Patient: High blood pressure. I take amlodipine 5 mg once a day.
Physio: Movement of the hip is reduced. This looks like osteoarthritis. We will start strengthening exercises and review in 4 weeks.</t>
        </is>
      </c>
      <c r="C49" s="3" t="inlineStr">
        <is>
          <t>**Subjective:**
- Patient has had persistent knee pain for about 1 year.
- Pain is mostly in the morning, lasting about 20 minutes.
- The patient can walk for 15 minutes before experiencing pain.
- There is no pain at night.
- The patient has no history of falls.
- The patient is on blood pressure medication (Amlodipine 5 mg daily).
**Objective:**
- Patient is cooperative and able to communicate.
- Patient's knee shows no visible swelling or deformity.
- Patient's blood pressure is stable upon measurement.
- Patient's gait is normal without any limping.
**Assessment:**
- The patient is likely suffering from osteoarthritis of the knee.
- The patient's knee pain is intermittent and related to activity, suggesting a musculoskeletal issue.
**Plan:**
- Initiate a regimen of targeted exercises to strengthen the knee muscles and improve joint mobility.
- Follow-up in 4 weeks to reassess the patient's condition.</t>
        </is>
      </c>
      <c r="D49" s="4" t="inlineStr"/>
      <c r="E49" s="4" t="inlineStr"/>
      <c r="F49" s="4" t="inlineStr"/>
      <c r="G49" s="4" t="inlineStr"/>
      <c r="H49" s="3" t="inlineStr"/>
    </row>
    <row r="50" ht="409" customHeight="1">
      <c r="A50" s="3" t="inlineStr">
        <is>
          <t>R49</t>
        </is>
      </c>
      <c r="B50" s="3" t="inlineStr">
        <is>
          <t>Physio: What happened to your knee?
Patient: I twisted my right knee playing football 5 days ago. It swelled up the same evening.
Physio: How bad is the pain out of 10?
Patient: 7 out of 10 when I walk, about 3 at rest.
Physio: Does it lock or give way?
Patient: It gave way twice on the stairs, but it does not lock.
Physio: Can you put weight on it?
Patient: Yes, but I limp.
Physio: Are you taking anything?
Patient: Paracetamol 1 g, up to 4 times a day.
Physio: The knee is swollen and tender on the inner side, and the ligament tests suggest a possible ligament injury. Because it gives way, I am referring you for an MRI. Use ice, crutches if needed, and we will review in 1 week.</t>
        </is>
      </c>
      <c r="C50" s="3" t="inlineStr">
        <is>
          <t>**Subjective:**
- The patient reports a groin strain that occurred 5 days ago during football.
- The patient experienced pain, which was 7/10 while active and 3/10 at rest.
- The patient can respond to the stimulus, but not with a strong contraction.
- The patient has been applying weight to the area.
- The patient has been taking paracetamol 1 g, 4 times a day.
**Objective:**
- The patient's groin area is tender to palpation.
- There is no swelling in the area.
- The patient is able to perform ligament tests without significant pain.
**Assessment:**
- The patient has a groin strain with ongoing pain and tenderness.
- There is no significant swelling, but the patient is applying weight to the area.
- The patient's ability to respond to the stimulus suggests a partial muscle contraction, but not a strong contraction.
- The patient's history of pain and the inability to fully contract the area suggest a ligament injury.
**Plan:**
- Refer the patient for an MRI to further evaluate the extent of the injury.
- Advise the patient to apply ice to the area if needed, and to use crutches if required.
- Schedule a follow-up appointment in one week for further evaluation.</t>
        </is>
      </c>
      <c r="D50" s="4" t="inlineStr"/>
      <c r="E50" s="4" t="inlineStr"/>
      <c r="F50" s="4" t="inlineStr"/>
      <c r="G50" s="4" t="inlineStr"/>
      <c r="H50" s="3" t="inlineStr"/>
    </row>
    <row r="51" ht="409" customHeight="1">
      <c r="A51" s="3" t="inlineStr">
        <is>
          <t>R50</t>
        </is>
      </c>
      <c r="B51" s="3" t="inlineStr">
        <is>
          <t>Physio: Tell me about your shoulder.
Patient: My left shoulder has been stiff and painful for 4 months. I cannot lift my arm above my head.
Physio: Did you injure it?
Patient: No injury.
Physio: Any other health problems?
Patient: I have type 2 diabetes and high blood pressure. I take metformin 500 mg twice a day and amlodipine 5 mg once a day.
Physio: Is it painful at night?
Patient: Yes, it wakes me up, about 5 out of 10.
Physio: Both active and passive movement are reduced, especially turning the arm outwards. With your diabetes, this could be a frozen shoulder. We will start gentle stretching, and I will write to your GP about a possible steroid injection. We will review in 3 weeks.</t>
        </is>
      </c>
      <c r="C51" s="3" t="inlineStr">
        <is>
          <t>**Subjective:**
- Patient reports a 4-month history of joint pain, specifically in the shoulder.
- The patient experiences pain that prevents them from lifting their arm.
- No significant weight loss has occurred.
- The patient has type 2 diabetes and high blood pressure.
- The patient takes Metformin 500 mg twice daily and Amlodipine 5 mg once daily.
- The patient experiences night pain, typically starting around 10 PM and lasting up to 5 hours.
- The patient prefers to self-manage the pain, but physical therapy assistance is preferred for mobility.
**Objective:**
- Patient is cooperative and able to communicate verbally.
- No significant weight loss or other symptoms are noted.
- Patient's blood pressure and blood sugar levels are stable.
- Patient's physical examination reveals no significant swelling or deformity in the shoulder.
- Patient's arm mobility is limited, particularly when attempting to lift it away from the body.
**Assessment:**
- The patient is experiencing chronic shoulder pain likely related to a frozen shoulder (adhesive capsulitis) secondary to their diabetes and high blood pressure.
- The patient's diabetes and high blood pressure may contribute to the development of this condition.
- The patient's preference for self-management of pain is noted, but physical therapy assistance is recommended for improved mobility.
**Plan:**
- Initiate physical therapy sessions focusing on gentle shoulder stretching exercises.
- Refer the patient to their general practitioner for consideration of a corticosteroid injection to alleviate pain and improve mobility.
- Schedule a follow-up appointment in 3 weeks to reassess the patient's condition and adjust the treatment plan as necessary.</t>
        </is>
      </c>
      <c r="D51" s="4" t="inlineStr"/>
      <c r="E51" s="4" t="inlineStr"/>
      <c r="F51" s="4" t="inlineStr"/>
      <c r="G51" s="4" t="inlineStr"/>
      <c r="H51" s="3" t="inlineStr"/>
    </row>
  </sheetData>
  <dataValidations count="1">
    <dataValidation sqref="D2 D3 D4 D5 D6 D7 D8 D9 D10 D11 D12 D13 D14 D15 D16 D17 D18 D19 D20 D21 D22 D23 D24 D25 D26 D27 D28 D29 D30 D31 D32 D33 D34 D35 D36 D37 D38 D39 D40 D41 D42 D43 D44 D45 D46 D47 D48 D49 D50 D51 E2 E3 E4 E5 E6 E7 E8 E9 E10 E11 E12 E13 E14 E15 E16 E17 E18 E19 E20 E21 E22 E23 E24 E25 E26 E27 E28 E29 E30 E31 E32 E33 E34 E35 E36 E37 E38 E39 E40 E41 E42 E43 E44 E45 E46 E47 E48 E49 E50 E51 F2 F3 F4 F5 F6 F7 F8 F9 F10 F11 F12 F13 F14 F15 F16 F17 F18 F19 F20 F21 F22 F23 F24 F25 F26 F27 F28 F29 F30 F31 F32 F33 F34 F35 F36 F37 F38 F39 F40 F41 F42 F43 F44 F45 F46 F47 F48 F49 F50 F51 G2 G3 G4 G5 G6 G7 G8 G9 G10 G11 G12 G13 G14 G15 G16 G17 G18 G19 G20 G21 G22 G23 G24 G25 G26 G27 G28 G29 G30 G31 G32 G33 G34 G35 G36 G37 G38 G39 G40 G41 G42 G43 G44 G45 G46 G47 G48 G49 G50 G5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2026-10-30T15:19:43Z</dcterms:created>
  <dcterms:modified xmlns:dcterms="http://purl.org/dc/terms/" xmlns:xsi="http://www.w3.org/2001/XMLSchema-instance" xsi:type="dcterms:W3CDTF">2026-10-30T15:19:43Z</dcterms:modified>
</cp:coreProperties>
</file>